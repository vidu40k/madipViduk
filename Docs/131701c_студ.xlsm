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480" yWindow="90" windowWidth="11355" windowHeight="8700" tabRatio="756" activeTab="2"/>
  </bookViews>
  <sheets>
    <sheet name="131701с_лк" sheetId="19" r:id="rId1"/>
    <sheet name="131701с_лб" sheetId="4" r:id="rId2"/>
    <sheet name="131701с_итог" sheetId="24" r:id="rId3"/>
    <sheet name="Оценка_УСРС" sheetId="31" r:id="rId4"/>
    <sheet name="Текущая оценка" sheetId="26" r:id="rId5"/>
    <sheet name="ИтогиУСРС" sheetId="28" r:id="rId6"/>
    <sheet name="План" sheetId="29" r:id="rId7"/>
  </sheets>
  <functionGroups builtInGroupCount="17"/>
  <definedNames>
    <definedName name="_xlnm._FilterDatabase" localSheetId="0" hidden="1">'131701с_лк'!$A$1:$M$19</definedName>
    <definedName name="_xlnm._FilterDatabase" localSheetId="3" hidden="1">Оценка_УСРС!$A$1:$B$19</definedName>
    <definedName name="OLE_LINK3" localSheetId="6">План!$C$2</definedName>
    <definedName name="_xlnm.Print_Titles" localSheetId="6">План!$1:$1</definedName>
  </definedNames>
  <calcPr calcId="145621"/>
</workbook>
</file>

<file path=xl/calcChain.xml><?xml version="1.0" encoding="utf-8"?>
<calcChain xmlns="http://schemas.openxmlformats.org/spreadsheetml/2006/main">
  <c r="E2" i="24" l="1"/>
  <c r="I4" i="31"/>
  <c r="I5" i="31"/>
  <c r="I6" i="31"/>
  <c r="I7" i="31"/>
  <c r="I8" i="31"/>
  <c r="I10" i="31"/>
  <c r="I11" i="31"/>
  <c r="I12" i="31"/>
  <c r="I13" i="31"/>
  <c r="I15" i="31"/>
  <c r="I16" i="31"/>
  <c r="I17" i="31"/>
  <c r="I18" i="31"/>
  <c r="I19" i="31"/>
  <c r="I3" i="31"/>
  <c r="T3" i="4"/>
  <c r="P2" i="4" l="1"/>
  <c r="N2" i="4"/>
  <c r="T14" i="4"/>
  <c r="T17" i="4"/>
  <c r="T16" i="4"/>
  <c r="T13" i="4"/>
  <c r="T11" i="4"/>
  <c r="T8" i="4"/>
  <c r="T4" i="4"/>
  <c r="T10" i="4"/>
  <c r="T6" i="4"/>
  <c r="T9" i="4"/>
  <c r="T18" i="4"/>
  <c r="T15" i="4"/>
  <c r="T12" i="4"/>
  <c r="T7" i="4"/>
  <c r="T5" i="4"/>
  <c r="R4" i="4" l="1"/>
  <c r="R5" i="4"/>
  <c r="R6" i="4"/>
  <c r="R7" i="4"/>
  <c r="R8" i="4"/>
  <c r="R9" i="4"/>
  <c r="R10" i="4"/>
  <c r="R11" i="4"/>
  <c r="R12" i="4"/>
  <c r="R13" i="4"/>
  <c r="R14" i="4"/>
  <c r="R15" i="4"/>
  <c r="R16" i="4"/>
  <c r="R17" i="4"/>
  <c r="R18" i="4"/>
  <c r="R3" i="4"/>
  <c r="E3" i="24" l="1"/>
  <c r="E4" i="24"/>
  <c r="E5" i="24"/>
  <c r="E6" i="24"/>
  <c r="E7" i="24"/>
  <c r="E8" i="24"/>
  <c r="E9" i="24"/>
  <c r="E10" i="24"/>
  <c r="E11" i="24"/>
  <c r="E12" i="24"/>
  <c r="E13" i="24"/>
  <c r="E14" i="24"/>
  <c r="E15" i="24"/>
  <c r="E16" i="24"/>
  <c r="E17" i="24"/>
  <c r="E23" i="29"/>
  <c r="F23" i="29"/>
  <c r="G23" i="29"/>
  <c r="H23" i="29"/>
  <c r="D23" i="29"/>
  <c r="C21" i="4"/>
  <c r="L2" i="4"/>
  <c r="J2" i="4"/>
  <c r="S14" i="4"/>
  <c r="S17" i="4"/>
  <c r="S16" i="4"/>
  <c r="S13" i="4"/>
  <c r="S8" i="4"/>
  <c r="S3" i="4"/>
  <c r="S9" i="4"/>
  <c r="S18" i="4"/>
  <c r="S15" i="4"/>
  <c r="S12" i="4"/>
  <c r="S10" i="4"/>
  <c r="S7" i="4"/>
  <c r="S6" i="4"/>
  <c r="S5" i="4"/>
  <c r="S11" i="4"/>
  <c r="S4" i="4"/>
  <c r="U4" i="4" l="1"/>
  <c r="U11" i="4"/>
  <c r="U5" i="4"/>
  <c r="U6" i="4"/>
  <c r="U7" i="4"/>
  <c r="U10" i="4"/>
  <c r="U12" i="4"/>
  <c r="U15" i="4"/>
  <c r="U18" i="4"/>
  <c r="U9" i="4"/>
  <c r="U3" i="4"/>
  <c r="U8" i="4"/>
  <c r="U13" i="4"/>
  <c r="F12" i="24" s="1"/>
  <c r="G12" i="24" s="1"/>
  <c r="C13" i="26" s="1"/>
  <c r="U16" i="4"/>
  <c r="U17" i="4"/>
  <c r="U14" i="4"/>
  <c r="F16" i="24"/>
  <c r="G16" i="24" s="1"/>
  <c r="C17" i="26" s="1"/>
  <c r="F17" i="24"/>
  <c r="G17" i="24" s="1"/>
  <c r="C18" i="26" s="1"/>
  <c r="F13" i="24"/>
  <c r="G13" i="24" s="1"/>
  <c r="C14" i="26" s="1"/>
  <c r="F14" i="24"/>
  <c r="G14" i="24" s="1"/>
  <c r="C15" i="26" s="1"/>
  <c r="F10" i="24"/>
  <c r="G10" i="24" s="1"/>
  <c r="C11" i="26" s="1"/>
  <c r="F15" i="24"/>
  <c r="G15" i="24" s="1"/>
  <c r="C16" i="26" s="1"/>
  <c r="F11" i="24"/>
  <c r="G11" i="24" s="1"/>
  <c r="C12" i="26" s="1"/>
  <c r="F9" i="24"/>
  <c r="G9" i="24" s="1"/>
  <c r="C10" i="26" s="1"/>
  <c r="F8" i="24"/>
  <c r="G8" i="24" s="1"/>
  <c r="C9" i="26" s="1"/>
  <c r="F5" i="24"/>
  <c r="G5" i="24" s="1"/>
  <c r="C6" i="26" s="1"/>
  <c r="F7" i="24"/>
  <c r="G7" i="24" s="1"/>
  <c r="C8" i="26" s="1"/>
  <c r="F6" i="24"/>
  <c r="G6" i="24" s="1"/>
  <c r="C7" i="26" s="1"/>
  <c r="F4" i="24"/>
  <c r="G4" i="24" s="1"/>
  <c r="C5" i="26" s="1"/>
  <c r="F3" i="24"/>
  <c r="G3" i="24" s="1"/>
  <c r="C4" i="26" s="1"/>
  <c r="F2" i="24" l="1"/>
  <c r="G2" i="24" s="1"/>
  <c r="C3" i="26" s="1"/>
  <c r="X1" i="4"/>
  <c r="K8" i="24"/>
  <c r="I15" i="24"/>
  <c r="I9" i="24"/>
  <c r="K17" i="24"/>
  <c r="K9" i="24"/>
  <c r="I11" i="24"/>
  <c r="K2" i="24"/>
  <c r="I13" i="24"/>
  <c r="K11" i="24"/>
  <c r="K7" i="24"/>
  <c r="K6" i="24"/>
  <c r="K14" i="24"/>
  <c r="K12" i="24"/>
  <c r="I14" i="24"/>
  <c r="K3" i="24"/>
  <c r="I16" i="24"/>
  <c r="K15" i="24"/>
  <c r="K13" i="24"/>
  <c r="I17" i="24"/>
  <c r="I3" i="24"/>
  <c r="I6" i="24"/>
  <c r="K5" i="24"/>
  <c r="I8" i="24"/>
  <c r="K10" i="24"/>
  <c r="I5" i="24"/>
  <c r="K4" i="24"/>
  <c r="I4" i="24"/>
  <c r="I12" i="24"/>
  <c r="K16" i="24"/>
  <c r="I2" i="24"/>
  <c r="I7" i="24"/>
  <c r="I10" i="24"/>
  <c r="L2" i="24" l="1"/>
  <c r="M2" i="24" s="1"/>
  <c r="L14" i="24"/>
  <c r="L12" i="24"/>
  <c r="M12" i="24" s="1"/>
  <c r="N12" i="24"/>
  <c r="N2" i="24"/>
  <c r="L16" i="24" l="1"/>
  <c r="M16" i="24" s="1"/>
  <c r="L6" i="24"/>
  <c r="M6" i="24" s="1"/>
  <c r="L17" i="24"/>
  <c r="M17" i="24" s="1"/>
  <c r="L10" i="24"/>
  <c r="M10" i="24" s="1"/>
  <c r="L11" i="24"/>
  <c r="M11" i="24" s="1"/>
  <c r="L3" i="24"/>
  <c r="M3" i="24" s="1"/>
  <c r="M14" i="24"/>
  <c r="L7" i="24"/>
  <c r="M7" i="24" s="1"/>
  <c r="L4" i="24"/>
  <c r="M4" i="24" s="1"/>
  <c r="L15" i="24"/>
  <c r="M15" i="24" s="1"/>
  <c r="L13" i="24"/>
  <c r="M13" i="24" s="1"/>
  <c r="N10" i="24"/>
  <c r="N6" i="24"/>
  <c r="N14" i="24"/>
  <c r="N17" i="24"/>
  <c r="N13" i="24"/>
  <c r="N15" i="24"/>
  <c r="N4" i="24"/>
  <c r="N16" i="24"/>
  <c r="N7" i="24"/>
  <c r="N3" i="24"/>
  <c r="N11" i="24"/>
  <c r="L5" i="24" l="1"/>
  <c r="M5" i="24" s="1"/>
  <c r="L8" i="24"/>
  <c r="M8" i="24" s="1"/>
  <c r="L9" i="24"/>
  <c r="M9" i="24" s="1"/>
  <c r="N5" i="24"/>
  <c r="N9" i="24"/>
  <c r="N8" i="24"/>
  <c r="M21" i="24" l="1"/>
  <c r="M22" i="24"/>
  <c r="M27" i="24"/>
  <c r="M30" i="24"/>
  <c r="M20" i="24"/>
  <c r="M23" i="24"/>
  <c r="M28" i="24"/>
  <c r="M29" i="24"/>
  <c r="M24" i="24"/>
  <c r="M19" i="24"/>
  <c r="M25" i="24"/>
  <c r="M26" i="24"/>
  <c r="M31" i="24" l="1"/>
</calcChain>
</file>

<file path=xl/comments1.xml><?xml version="1.0" encoding="utf-8"?>
<comments xmlns="http://schemas.openxmlformats.org/spreadsheetml/2006/main">
  <authors>
    <author>Volha</author>
  </authors>
  <commentList>
    <comment ref="D2" authorId="0">
      <text>
        <r>
          <rPr>
            <b/>
            <sz val="9"/>
            <color indexed="81"/>
            <rFont val="Tahoma"/>
            <family val="2"/>
            <charset val="204"/>
          </rPr>
          <t>0-10</t>
        </r>
      </text>
    </comment>
    <comment ref="E2" authorId="0">
      <text>
        <r>
          <rPr>
            <b/>
            <sz val="9"/>
            <color indexed="81"/>
            <rFont val="Tahoma"/>
            <family val="2"/>
            <charset val="204"/>
          </rPr>
          <t>н
2н
н+
2н+</t>
        </r>
      </text>
    </comment>
  </commentList>
</comments>
</file>

<file path=xl/sharedStrings.xml><?xml version="1.0" encoding="utf-8"?>
<sst xmlns="http://schemas.openxmlformats.org/spreadsheetml/2006/main" count="329" uniqueCount="155">
  <si>
    <t>№</t>
  </si>
  <si>
    <t>ФИО студента</t>
  </si>
  <si>
    <t>Тема</t>
  </si>
  <si>
    <t>№ раб. места</t>
  </si>
  <si>
    <t>Количество часов</t>
  </si>
  <si>
    <t>Семестр</t>
  </si>
  <si>
    <t>не явились</t>
  </si>
  <si>
    <t>не допущено</t>
  </si>
  <si>
    <t>десять</t>
  </si>
  <si>
    <t>девять</t>
  </si>
  <si>
    <t>восемь</t>
  </si>
  <si>
    <t>семь</t>
  </si>
  <si>
    <t>шесть</t>
  </si>
  <si>
    <t>пять</t>
  </si>
  <si>
    <t>четыре</t>
  </si>
  <si>
    <t>три</t>
  </si>
  <si>
    <t>два</t>
  </si>
  <si>
    <t>один</t>
  </si>
  <si>
    <t>ВСЕГО</t>
  </si>
  <si>
    <t>Студенч</t>
  </si>
  <si>
    <t>Рейтинговая
оценка</t>
  </si>
  <si>
    <t>Оценка текущего
контроля</t>
  </si>
  <si>
    <t>Процент теор</t>
  </si>
  <si>
    <t>Оценка теор</t>
  </si>
  <si>
    <t>Процент практ</t>
  </si>
  <si>
    <t>Оценка практ</t>
  </si>
  <si>
    <t>Лаборат (кр, УСРС)</t>
  </si>
  <si>
    <t>Рейтинг (web-сайт)</t>
  </si>
  <si>
    <t>Ведомость
 19.12.2014</t>
  </si>
  <si>
    <t>Пропуски</t>
  </si>
  <si>
    <t>Сдали</t>
  </si>
  <si>
    <t>Не сдали</t>
  </si>
  <si>
    <t>Оценка</t>
  </si>
  <si>
    <t>Группа</t>
  </si>
  <si>
    <t>Учебный год</t>
  </si>
  <si>
    <t>Специальность</t>
  </si>
  <si>
    <t>Темы УСРС:</t>
  </si>
  <si>
    <t>Отчет о результатах выполнения УСРС</t>
  </si>
  <si>
    <t>Преподаватель</t>
  </si>
  <si>
    <r>
      <t>УСРС лекции</t>
    </r>
    <r>
      <rPr>
        <b/>
        <vertAlign val="superscript"/>
        <sz val="10"/>
        <rFont val="Arial Cyr"/>
        <charset val="204"/>
      </rPr>
      <t>2</t>
    </r>
  </si>
  <si>
    <t>Лк</t>
  </si>
  <si>
    <t>ЛР</t>
  </si>
  <si>
    <t>УСРС лк</t>
  </si>
  <si>
    <t>Итог</t>
  </si>
  <si>
    <t>Тема занятия</t>
  </si>
  <si>
    <t>Оценка_Экзамен</t>
  </si>
  <si>
    <t>ЛР1</t>
  </si>
  <si>
    <t>ЛР2</t>
  </si>
  <si>
    <t>ЛР3</t>
  </si>
  <si>
    <t>Подгр.</t>
  </si>
  <si>
    <t>Белоусов Александр Андреевич</t>
  </si>
  <si>
    <t>Бладыко Дмитрий Васильевич</t>
  </si>
  <si>
    <t>Василевский Сергей Олегович</t>
  </si>
  <si>
    <t>Войнич Евгений Геннадьевич</t>
  </si>
  <si>
    <t>Жук Александр Игоревич</t>
  </si>
  <si>
    <t>Зверинский Вадим Валентинович</t>
  </si>
  <si>
    <t>Зоткин Александр Сергеевич</t>
  </si>
  <si>
    <t>Киселевич Ренат Андреевич</t>
  </si>
  <si>
    <t>Колодынский Александр Владимирович</t>
  </si>
  <si>
    <t>Кравченко Егор Эдуардович</t>
  </si>
  <si>
    <t>Любин Владимир Евгеньевич</t>
  </si>
  <si>
    <t>Маль Павел Леонидович</t>
  </si>
  <si>
    <t>Мошенский Антон Игоревич</t>
  </si>
  <si>
    <t>Савко Елена Сергеевна</t>
  </si>
  <si>
    <t>Хвалько Евгений Геннадьевич</t>
  </si>
  <si>
    <t>Якимович Дмитрий Александрович</t>
  </si>
  <si>
    <t>УСРС_рефераты</t>
  </si>
  <si>
    <t>24.01.2017</t>
  </si>
  <si>
    <t>26.01.2017</t>
  </si>
  <si>
    <t>31.01.2017</t>
  </si>
  <si>
    <t>02.02.2017</t>
  </si>
  <si>
    <t>06.02.2017</t>
  </si>
  <si>
    <t>08.02.2017</t>
  </si>
  <si>
    <t>13.02.2017</t>
  </si>
  <si>
    <t>20.02.2017</t>
  </si>
  <si>
    <t xml:space="preserve">Лк 5 OLAP операции в R </t>
  </si>
  <si>
    <t xml:space="preserve">Лк 6 Введение в Data Science </t>
  </si>
  <si>
    <t xml:space="preserve">Лк 7 Визуализация данных в R </t>
  </si>
  <si>
    <t xml:space="preserve">Лк 8 Трансформация данных в R </t>
  </si>
  <si>
    <t xml:space="preserve">Лк 1 Технологии анализа данных. 
Хранилище данных </t>
  </si>
  <si>
    <t xml:space="preserve">Лк 2 Технологии оперативного 
анализа данных </t>
  </si>
  <si>
    <t xml:space="preserve">Лк 3-4 Программная среда анализа 
данных и язык программирования R </t>
  </si>
  <si>
    <t>Группа 131701с</t>
  </si>
  <si>
    <t>131701c
Текущая оценка</t>
  </si>
  <si>
    <t>ПОИТ</t>
  </si>
  <si>
    <t>131701с</t>
  </si>
  <si>
    <t>2016–2017</t>
  </si>
  <si>
    <t>Гедранович О.Б.</t>
  </si>
  <si>
    <r>
      <t>УСРС п.з.</t>
    </r>
    <r>
      <rPr>
        <b/>
        <vertAlign val="superscript"/>
        <sz val="10"/>
        <rFont val="Arial Cyr"/>
        <charset val="204"/>
      </rPr>
      <t>1</t>
    </r>
  </si>
  <si>
    <t>УСРС 1 Система управления версиями. Работа с репозиторием на GitHub</t>
  </si>
  <si>
    <t>УСРС 2 Технологии Data Science</t>
  </si>
  <si>
    <t>ПЗ</t>
  </si>
  <si>
    <t>УСРС пз</t>
  </si>
  <si>
    <t>Система управления версиями (Version Control System) (12 ч.)</t>
  </si>
  <si>
    <t>Программная среда анализа данных и язык программирования R (6 ч.)</t>
  </si>
  <si>
    <t>Оперативный анализ данных в R (4 ч.)</t>
  </si>
  <si>
    <t>Применение OLAP операций в R</t>
  </si>
  <si>
    <t>Основы анализа данных в R (6 ч.)</t>
  </si>
  <si>
    <t>Графический анализ данных</t>
  </si>
  <si>
    <t>Кластеризация данных в R</t>
  </si>
  <si>
    <t>R package</t>
  </si>
  <si>
    <r>
      <rPr>
        <b/>
        <sz val="10"/>
        <rFont val="Arial Cyr"/>
      </rPr>
      <t>Технологии анализа данных. Хранилище данных (2 ч.)</t>
    </r>
    <r>
      <rPr>
        <sz val="10"/>
        <rFont val="Arial Cyr"/>
        <charset val="204"/>
      </rPr>
      <t xml:space="preserve">
Системы поддержки принятия решений. Базы данных. Организация хранилища данных. Очистка данных.</t>
    </r>
  </si>
  <si>
    <r>
      <rPr>
        <b/>
        <sz val="10"/>
        <rFont val="Arial Cyr"/>
      </rPr>
      <t>Технологии оперативного анализа данных (2 ч.)</t>
    </r>
    <r>
      <rPr>
        <sz val="10"/>
        <rFont val="Arial Cyr"/>
        <charset val="204"/>
      </rPr>
      <t xml:space="preserve">
Многомерная модель данных. Определение OLAP-систем. Архитектура OLAP-систем: ROLAP, MOLAP, HOLAP. Основные операции OLAP-систем.</t>
    </r>
  </si>
  <si>
    <r>
      <rPr>
        <b/>
        <sz val="10"/>
        <rFont val="Arial Cyr"/>
      </rPr>
      <t>Работа с репозиторием на GitHub</t>
    </r>
    <r>
      <rPr>
        <sz val="10"/>
        <rFont val="Arial Cyr"/>
        <charset val="204"/>
      </rPr>
      <t xml:space="preserve">
Создание Git-репозитория. Клонирование существующего репозитория. Внесение и оформление изменений в локальном репозитории. Загрузка локальных изменений в удаленный репозиторий.</t>
    </r>
  </si>
  <si>
    <r>
      <rPr>
        <b/>
        <sz val="10"/>
        <rFont val="Arial Cyr"/>
      </rPr>
      <t>Система управления версиями</t>
    </r>
    <r>
      <rPr>
        <sz val="10"/>
        <rFont val="Arial Cyr"/>
      </rPr>
      <t xml:space="preserve">
Git. GitHub. Bitbucket. GitLab.</t>
    </r>
  </si>
  <si>
    <r>
      <rPr>
        <b/>
        <sz val="10"/>
        <rFont val="Arial Cyr"/>
      </rPr>
      <t>Программная среда анализа данных и язык программирования R</t>
    </r>
    <r>
      <rPr>
        <sz val="10"/>
        <rFont val="Arial Cyr"/>
        <charset val="204"/>
      </rPr>
      <t xml:space="preserve">
Обзор и история R. Консоль R. Интегрированная среда разработки RStudio. Объекты и атрибуты. Типы данных: векторы, списки, матрицы, факторы, блоки данных (data frames). Чтение и запись данных. Форматы данных. Основные операции. Пакеты и библиотеки.</t>
    </r>
  </si>
  <si>
    <r>
      <rPr>
        <b/>
        <sz val="10"/>
        <rFont val="Arial Cyr"/>
      </rPr>
      <t>Основы работы в среде Rstudio</t>
    </r>
    <r>
      <rPr>
        <sz val="10"/>
        <rFont val="Arial Cyr"/>
        <charset val="204"/>
      </rPr>
      <t xml:space="preserve">
Ознакомление с интерфейсом. Создание проекта. Отладка программного кода.</t>
    </r>
  </si>
  <si>
    <r>
      <rPr>
        <b/>
        <sz val="10"/>
        <rFont val="Arial Cyr"/>
      </rPr>
      <t>OLAP операции в R</t>
    </r>
    <r>
      <rPr>
        <sz val="10"/>
        <rFont val="Arial Cyr"/>
        <charset val="204"/>
      </rPr>
      <t xml:space="preserve">
Slice (двумерный (плоскостной) срез), Dice (многомерный подкуб), Roll-Up (консолидация, агрегация, обобщение), Drill down (детализация), Pivot (вращение).</t>
    </r>
  </si>
  <si>
    <r>
      <rPr>
        <b/>
        <sz val="10"/>
        <rFont val="Arial Cyr"/>
      </rPr>
      <t>Применение OLAP операций в R</t>
    </r>
    <r>
      <rPr>
        <sz val="10"/>
        <rFont val="Arial Cyr"/>
        <charset val="204"/>
      </rPr>
      <t xml:space="preserve">
Создание таблиц. Работа с многомерным кубом: двумерный (плоскостной) срез, многомерный подкуб, консолидация, детализация, вращение.</t>
    </r>
  </si>
  <si>
    <r>
      <rPr>
        <b/>
        <sz val="10"/>
        <rFont val="Arial Cyr"/>
      </rPr>
      <t>Введение в Data Science (2 ч.)</t>
    </r>
    <r>
      <rPr>
        <sz val="10"/>
        <rFont val="Arial Cyr"/>
        <charset val="204"/>
      </rPr>
      <t xml:space="preserve">
Понятие Data Science. Отличие Data Science от Business Intelligence. Технологии и инструментарий. Сервисы для Data Science.</t>
    </r>
  </si>
  <si>
    <r>
      <rPr>
        <b/>
        <sz val="10"/>
        <rFont val="Arial Cyr"/>
      </rPr>
      <t>Визуализация данных в R</t>
    </r>
    <r>
      <rPr>
        <sz val="10"/>
        <rFont val="Arial Cyr"/>
        <charset val="204"/>
      </rPr>
      <t xml:space="preserve">
Принципы Tidy Data. Отображение данных. Facets. Геометрические объекты. Системы координат.</t>
    </r>
  </si>
  <si>
    <r>
      <rPr>
        <b/>
        <sz val="10"/>
        <rFont val="Arial Cyr"/>
      </rPr>
      <t>Трансформация данных в R</t>
    </r>
    <r>
      <rPr>
        <sz val="10"/>
        <rFont val="Arial Cyr"/>
        <charset val="204"/>
      </rPr>
      <t xml:space="preserve">
Фильтрация (filter), сортировка (arrange), выборка (select), модификация (mutate), групповые операции. Pipes.</t>
    </r>
  </si>
  <si>
    <r>
      <rPr>
        <b/>
        <sz val="10"/>
        <rFont val="Arial Cyr"/>
      </rPr>
      <t>Графический анализ данных</t>
    </r>
    <r>
      <rPr>
        <sz val="10"/>
        <rFont val="Arial Cyr"/>
        <charset val="204"/>
      </rPr>
      <t xml:space="preserve">
Импорт и экспорт данных. Подготовка данных. Построение графиков и диаграмм.</t>
    </r>
  </si>
  <si>
    <r>
      <rPr>
        <b/>
        <sz val="10"/>
        <rFont val="Arial Cyr"/>
      </rPr>
      <t>Анализ данных с помощью операций трансформации</t>
    </r>
    <r>
      <rPr>
        <sz val="10"/>
        <rFont val="Arial Cyr"/>
        <charset val="204"/>
      </rPr>
      <t xml:space="preserve">
Фильтрация (filter), сортировка (arrange), выборка (select), модификация (mutate), групповые операции.</t>
    </r>
  </si>
  <si>
    <r>
      <rPr>
        <b/>
        <sz val="10"/>
        <rFont val="Arial Cyr"/>
      </rPr>
      <t>Кластеризация данных в R</t>
    </r>
    <r>
      <rPr>
        <sz val="10"/>
        <rFont val="Arial Cyr"/>
        <charset val="204"/>
      </rPr>
      <t xml:space="preserve">
Кластерный анализ данных. Создание функций.</t>
    </r>
  </si>
  <si>
    <r>
      <rPr>
        <b/>
        <sz val="10"/>
        <rFont val="Arial Cyr"/>
      </rPr>
      <t>R package</t>
    </r>
    <r>
      <rPr>
        <sz val="10"/>
        <rFont val="Arial Cyr"/>
        <charset val="204"/>
      </rPr>
      <t xml:space="preserve">
Создание пакета (R package).</t>
    </r>
  </si>
  <si>
    <r>
      <rPr>
        <b/>
        <sz val="10"/>
        <rFont val="Arial Cyr"/>
      </rPr>
      <t>Основы работы с R Markdown (2 ч.)</t>
    </r>
    <r>
      <rPr>
        <sz val="10"/>
        <rFont val="Arial Cyr"/>
        <charset val="204"/>
      </rPr>
      <t xml:space="preserve">
Форматирование текста. Импорт программного кода (code chunks).</t>
    </r>
  </si>
  <si>
    <r>
      <rPr>
        <b/>
        <sz val="10"/>
        <rFont val="Arial Cyr"/>
      </rPr>
      <t>Технологии Data Science (12 ч.)</t>
    </r>
    <r>
      <rPr>
        <sz val="10"/>
        <rFont val="Arial Cyr"/>
        <charset val="204"/>
      </rPr>
      <t xml:space="preserve">
Процесс ETL. Dimension Reduction. Text mining. Word2vec. Natural language processing. Sentiment analysis. Topics modelling. Neural networks (multilayer perceptron). Convolutional neural networks. Unsupervised Learning (кластеры, associative rules). Supervised Learning (классификация, регрессия). Text analysis. Image analysis.</t>
    </r>
  </si>
  <si>
    <t>1-15</t>
  </si>
  <si>
    <t>УСРС_пз</t>
  </si>
  <si>
    <t>Основы работы в среде Rstudio</t>
  </si>
  <si>
    <t>Основы работы с R Markdown</t>
  </si>
  <si>
    <t>Анализ данных с помощью
операций трансформации</t>
  </si>
  <si>
    <t>ПЗ1</t>
  </si>
  <si>
    <t>ПЗ2</t>
  </si>
  <si>
    <t>ПЗ3</t>
  </si>
  <si>
    <t>ПЗ4</t>
  </si>
  <si>
    <t>УСРС_лк</t>
  </si>
  <si>
    <t>н</t>
  </si>
  <si>
    <t xml:space="preserve">1.    Процесс ETL. </t>
  </si>
  <si>
    <t xml:space="preserve">2.    Dimension Reduction. </t>
  </si>
  <si>
    <t xml:space="preserve">3.    Text mining. </t>
  </si>
  <si>
    <t xml:space="preserve">4.    Word2vec. </t>
  </si>
  <si>
    <t xml:space="preserve">5.    Natural language processing. </t>
  </si>
  <si>
    <t xml:space="preserve">6.    Sentiment analysis. </t>
  </si>
  <si>
    <t xml:space="preserve">7.    Topics modelling. </t>
  </si>
  <si>
    <t xml:space="preserve">8.    Neural networks (multilayer perceptron). </t>
  </si>
  <si>
    <t xml:space="preserve">9.    Convolutional neural networks. </t>
  </si>
  <si>
    <t xml:space="preserve">10. Unsupervised Learning (clusters, associative rules). </t>
  </si>
  <si>
    <t xml:space="preserve">11. Supervised Learning (classification, regression). </t>
  </si>
  <si>
    <t xml:space="preserve">12. Text analysis. </t>
  </si>
  <si>
    <t>13. Image analysis.</t>
  </si>
  <si>
    <t>Темы УСРС</t>
  </si>
  <si>
    <t>№ Темы</t>
  </si>
  <si>
    <t>3-20</t>
  </si>
  <si>
    <t>2н</t>
  </si>
  <si>
    <t>Теоретические сведения, кратко раскрывающие тему</t>
  </si>
  <si>
    <t>Примеры</t>
  </si>
  <si>
    <t>до 5 слайдов</t>
  </si>
  <si>
    <t>Оценить каждый пункт баллом от 0 до 10</t>
  </si>
  <si>
    <t>Постановка задачи 
(Job proposal) 
по теме 
(1 слайд, предп. на англ. яз.)</t>
  </si>
  <si>
    <t>Ответ разработчика 
на постановку задачи 
(Cover letter) 
с описанием видения 
и шагов решения 
(1-2 слайда, 
предп. на англ. яз.)</t>
  </si>
  <si>
    <t>Титульный слайд с названием темы, сведениями 
о студенте</t>
  </si>
  <si>
    <t>2н+</t>
  </si>
  <si>
    <t>Работа ауд.</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</si>
</sst>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quot;р.&quot;_-;\-* #,##0&quot;р.&quot;_-;_-* &quot;-&quot;&quot;р.&quot;_-;_-@_-"/>
    <numFmt numFmtId="165" formatCode="dd\.mm\.yyyy"/>
    <numFmt numFmtId="167" formatCode="00"/>
    <numFmt numFmtId="168" formatCode="[$-F800]dddd\,\ mmmm\ dd\,\ yyyy"/>
  </numFmts>
  <fonts count="43" x14ac:knownFonts="1">
    <font>
      <sz val="10"/>
      <name val="Arial Cyr"/>
      <charset val="204"/>
    </font>
    <font>
      <sz val="10"/>
      <name val="Arial Cyr"/>
      <charset val="204"/>
    </font>
    <font>
      <b/>
      <sz val="10"/>
      <name val="Arial Cyr"/>
      <charset val="204"/>
    </font>
    <font>
      <sz val="8"/>
      <name val="Arial Cyr"/>
      <charset val="204"/>
    </font>
    <font>
      <sz val="10"/>
      <name val="Arial"/>
      <family val="2"/>
      <charset val="204"/>
    </font>
    <font>
      <b/>
      <sz val="10"/>
      <name val="Arial"/>
      <family val="2"/>
      <charset val="204"/>
    </font>
    <font>
      <sz val="10"/>
      <color indexed="8"/>
      <name val="Arial"/>
      <family val="2"/>
      <charset val="204"/>
    </font>
    <font>
      <b/>
      <i/>
      <sz val="10"/>
      <name val="Arial"/>
      <family val="2"/>
      <charset val="204"/>
    </font>
    <font>
      <b/>
      <sz val="10"/>
      <color indexed="16"/>
      <name val="Arial"/>
      <family val="2"/>
      <charset val="204"/>
    </font>
    <font>
      <b/>
      <sz val="12"/>
      <name val="Arial"/>
      <family val="2"/>
      <charset val="204"/>
    </font>
    <font>
      <sz val="9"/>
      <name val="Arial Cyr"/>
      <family val="2"/>
      <charset val="204"/>
    </font>
    <font>
      <b/>
      <i/>
      <sz val="10"/>
      <color indexed="12"/>
      <name val="Arial Cyr"/>
      <charset val="204"/>
    </font>
    <font>
      <sz val="16"/>
      <name val="Arial Cyr"/>
      <charset val="204"/>
    </font>
    <font>
      <sz val="12"/>
      <name val="Arial"/>
      <family val="2"/>
      <charset val="204"/>
    </font>
    <font>
      <b/>
      <sz val="10"/>
      <color indexed="10"/>
      <name val="Arial Cyr"/>
      <charset val="204"/>
    </font>
    <font>
      <b/>
      <sz val="10"/>
      <color indexed="17"/>
      <name val="Arial Cyr"/>
      <charset val="204"/>
    </font>
    <font>
      <sz val="10"/>
      <name val="Arial Cyr"/>
    </font>
    <font>
      <b/>
      <sz val="10"/>
      <name val="Arial Cyr"/>
    </font>
    <font>
      <b/>
      <sz val="9"/>
      <color indexed="81"/>
      <name val="Tahoma"/>
      <family val="2"/>
      <charset val="204"/>
    </font>
    <font>
      <b/>
      <sz val="12"/>
      <name val="Arial Cyr"/>
      <charset val="204"/>
    </font>
    <font>
      <sz val="12"/>
      <name val="Arial Cyr"/>
      <charset val="204"/>
    </font>
    <font>
      <sz val="12"/>
      <name val="Helvetica"/>
      <family val="2"/>
    </font>
    <font>
      <b/>
      <vertAlign val="superscript"/>
      <sz val="10"/>
      <name val="Arial Cyr"/>
      <charset val="204"/>
    </font>
    <font>
      <vertAlign val="superscript"/>
      <sz val="10"/>
      <name val="Arial Cyr"/>
      <charset val="204"/>
    </font>
    <font>
      <sz val="11"/>
      <color rgb="FF000000"/>
      <name val="Calibri"/>
      <family val="2"/>
      <charset val="204"/>
    </font>
    <font>
      <b/>
      <sz val="10"/>
      <color theme="1"/>
      <name val="Arial Cyr"/>
      <charset val="204"/>
    </font>
    <font>
      <b/>
      <sz val="10"/>
      <color theme="0"/>
      <name val="Arial Cyr"/>
      <charset val="204"/>
    </font>
    <font>
      <sz val="10"/>
      <color theme="1"/>
      <name val="Arial Cyr"/>
      <charset val="204"/>
    </font>
    <font>
      <b/>
      <sz val="10"/>
      <color theme="1"/>
      <name val="Arial Cyr"/>
    </font>
    <font>
      <sz val="10"/>
      <name val="Calibri"/>
      <family val="2"/>
      <charset val="204"/>
      <scheme val="minor"/>
    </font>
    <font>
      <b/>
      <sz val="10"/>
      <name val="Calibri"/>
      <family val="2"/>
      <charset val="204"/>
      <scheme val="minor"/>
    </font>
    <font>
      <b/>
      <sz val="12"/>
      <name val="Calibri"/>
      <family val="2"/>
      <charset val="204"/>
      <scheme val="minor"/>
    </font>
    <font>
      <sz val="10"/>
      <color indexed="8"/>
      <name val="Calibri"/>
      <family val="2"/>
      <charset val="204"/>
      <scheme val="minor"/>
    </font>
    <font>
      <b/>
      <i/>
      <sz val="10"/>
      <name val="Calibri"/>
      <family val="2"/>
      <charset val="204"/>
      <scheme val="minor"/>
    </font>
    <font>
      <b/>
      <sz val="10"/>
      <color indexed="16"/>
      <name val="Calibri"/>
      <family val="2"/>
      <charset val="204"/>
      <scheme val="minor"/>
    </font>
    <font>
      <b/>
      <sz val="10"/>
      <color theme="4" tint="-0.499984740745262"/>
      <name val="Calibri"/>
      <family val="2"/>
      <charset val="204"/>
      <scheme val="minor"/>
    </font>
    <font>
      <b/>
      <sz val="8"/>
      <color theme="0"/>
      <name val="Calibri"/>
      <family val="2"/>
      <charset val="204"/>
      <scheme val="minor"/>
    </font>
    <font>
      <sz val="9"/>
      <name val="Calibri"/>
      <family val="2"/>
      <charset val="204"/>
      <scheme val="minor"/>
    </font>
    <font>
      <b/>
      <sz val="9"/>
      <name val="Calibri"/>
      <family val="2"/>
      <charset val="204"/>
      <scheme val="minor"/>
    </font>
    <font>
      <b/>
      <sz val="11"/>
      <color rgb="FF000000"/>
      <name val="Calibri"/>
      <family val="2"/>
      <charset val="204"/>
    </font>
    <font>
      <sz val="8"/>
      <color theme="0" tint="-0.499984740745262"/>
      <name val="Arial"/>
      <family val="2"/>
      <charset val="204"/>
    </font>
    <font>
      <sz val="11"/>
      <name val="Trebuchet MS"/>
      <family val="2"/>
      <charset val="204"/>
    </font>
    <font>
      <sz val="10"/>
      <color rgb="FF000000"/>
      <name val="Calibri"/>
      <family val="2"/>
      <charset val="204"/>
    </font>
  </fonts>
  <fills count="11">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indexed="13"/>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bgColor theme="4"/>
      </patternFill>
    </fill>
    <fill>
      <patternFill patternType="solid">
        <fgColor theme="3" tint="0.79998168889431442"/>
        <bgColor indexed="64"/>
      </patternFill>
    </fill>
    <fill>
      <patternFill patternType="darkUp">
        <fgColor theme="0" tint="-0.24994659260841701"/>
        <bgColor theme="0"/>
      </patternFill>
    </fill>
  </fills>
  <borders count="40">
    <border>
      <left/>
      <right/>
      <top/>
      <bottom/>
      <diagonal/>
    </border>
    <border>
      <left style="thin">
        <color indexed="8"/>
      </left>
      <right style="thin">
        <color indexed="8"/>
      </right>
      <top style="thin">
        <color indexed="8"/>
      </top>
      <bottom style="medium">
        <color indexed="8"/>
      </bottom>
      <diagonal/>
    </border>
    <border>
      <left style="thin">
        <color indexed="64"/>
      </left>
      <right style="thin">
        <color indexed="64"/>
      </right>
      <top style="thin">
        <color indexed="64"/>
      </top>
      <bottom style="medium">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bottom style="thin">
        <color indexed="64"/>
      </bottom>
      <diagonal/>
    </border>
    <border>
      <left style="thin">
        <color indexed="8"/>
      </left>
      <right style="thin">
        <color indexed="64"/>
      </right>
      <top style="thin">
        <color indexed="8"/>
      </top>
      <bottom style="medium">
        <color indexed="64"/>
      </bottom>
      <diagonal/>
    </border>
    <border>
      <left style="thin">
        <color indexed="8"/>
      </left>
      <right/>
      <top/>
      <bottom style="thin">
        <color indexed="8"/>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style="thin">
        <color indexed="8"/>
      </left>
      <right style="thin">
        <color indexed="64"/>
      </right>
      <top style="medium">
        <color indexed="8"/>
      </top>
      <bottom style="thin">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thin">
        <color indexed="8"/>
      </top>
      <bottom style="thin">
        <color indexed="64"/>
      </bottom>
      <diagonal/>
    </border>
    <border>
      <left/>
      <right/>
      <top style="thin">
        <color indexed="8"/>
      </top>
      <bottom/>
      <diagonal/>
    </border>
    <border>
      <left/>
      <right style="thin">
        <color indexed="64"/>
      </right>
      <top style="thin">
        <color indexed="8"/>
      </top>
      <bottom/>
      <diagonal/>
    </border>
    <border>
      <left/>
      <right style="thin">
        <color indexed="64"/>
      </right>
      <top/>
      <bottom style="thin">
        <color indexed="64"/>
      </bottom>
      <diagonal/>
    </border>
    <border>
      <left/>
      <right style="medium">
        <color indexed="64"/>
      </right>
      <top style="thin">
        <color indexed="64"/>
      </top>
      <bottom style="medium">
        <color indexed="8"/>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style="thin">
        <color theme="4" tint="0.39994506668294322"/>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4506668294322"/>
      </right>
      <top style="thin">
        <color theme="4" tint="0.39997558519241921"/>
      </top>
      <bottom style="thin">
        <color theme="4" tint="0.39997558519241921"/>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62">
    <xf numFmtId="0" fontId="0" fillId="0" borderId="0" xfId="0"/>
    <xf numFmtId="0" fontId="2" fillId="0" borderId="1" xfId="0" applyFont="1" applyBorder="1" applyAlignment="1">
      <alignment horizontal="center" wrapText="1"/>
    </xf>
    <xf numFmtId="14" fontId="2" fillId="0" borderId="2" xfId="0" applyNumberFormat="1" applyFont="1" applyBorder="1" applyAlignment="1">
      <alignment horizontal="center" textRotation="90"/>
    </xf>
    <xf numFmtId="0" fontId="4" fillId="0" borderId="0" xfId="0" applyFont="1"/>
    <xf numFmtId="0" fontId="4" fillId="0" borderId="0" xfId="0" applyFont="1" applyBorder="1" applyAlignment="1">
      <alignment horizontal="center" vertical="top" wrapText="1"/>
    </xf>
    <xf numFmtId="0" fontId="5" fillId="2" borderId="0" xfId="0" applyFont="1" applyFill="1"/>
    <xf numFmtId="0" fontId="0" fillId="0" borderId="8" xfId="0" applyBorder="1"/>
    <xf numFmtId="0" fontId="8" fillId="0" borderId="5" xfId="0" applyFont="1" applyFill="1" applyBorder="1"/>
    <xf numFmtId="0" fontId="0" fillId="0" borderId="0" xfId="0" applyAlignment="1">
      <alignment horizontal="center"/>
    </xf>
    <xf numFmtId="0" fontId="4" fillId="0" borderId="0" xfId="0" applyFont="1" applyAlignment="1">
      <alignment horizontal="right"/>
    </xf>
    <xf numFmtId="0" fontId="10" fillId="0" borderId="0" xfId="0" applyFont="1" applyFill="1" applyBorder="1" applyAlignment="1">
      <alignment horizontal="right"/>
    </xf>
    <xf numFmtId="0" fontId="10" fillId="0" borderId="10" xfId="0" applyFont="1" applyFill="1" applyBorder="1" applyAlignment="1">
      <alignment horizontal="right"/>
    </xf>
    <xf numFmtId="0" fontId="0" fillId="0" borderId="10" xfId="0" applyBorder="1" applyAlignment="1">
      <alignment horizontal="center"/>
    </xf>
    <xf numFmtId="0" fontId="0" fillId="0" borderId="0" xfId="0" applyBorder="1" applyAlignment="1">
      <alignment horizontal="center"/>
    </xf>
    <xf numFmtId="0" fontId="4" fillId="0" borderId="3" xfId="0" applyFont="1" applyFill="1" applyBorder="1" applyAlignment="1">
      <alignment horizontal="center" wrapText="1"/>
    </xf>
    <xf numFmtId="0" fontId="12" fillId="0" borderId="7" xfId="0" applyFont="1" applyFill="1" applyBorder="1" applyAlignment="1">
      <alignment horizontal="center" vertical="center" wrapText="1"/>
    </xf>
    <xf numFmtId="0" fontId="1" fillId="0" borderId="0" xfId="0" applyFont="1" applyFill="1"/>
    <xf numFmtId="0" fontId="8" fillId="0" borderId="5" xfId="0" applyFont="1" applyFill="1" applyBorder="1" applyAlignment="1">
      <alignment horizontal="center"/>
    </xf>
    <xf numFmtId="0" fontId="1" fillId="0" borderId="0" xfId="0" applyFont="1"/>
    <xf numFmtId="0" fontId="1" fillId="0" borderId="6" xfId="0" applyFont="1" applyBorder="1" applyAlignment="1">
      <alignment wrapText="1"/>
    </xf>
    <xf numFmtId="0" fontId="1" fillId="0" borderId="0" xfId="0" applyFont="1" applyAlignment="1">
      <alignment wrapText="1"/>
    </xf>
    <xf numFmtId="0" fontId="1" fillId="2" borderId="0" xfId="0" applyFont="1" applyFill="1" applyAlignment="1">
      <alignment textRotation="90" wrapText="1"/>
    </xf>
    <xf numFmtId="0" fontId="0" fillId="2" borderId="0" xfId="0" applyFill="1"/>
    <xf numFmtId="0" fontId="4" fillId="0" borderId="0" xfId="0" applyFont="1" applyAlignment="1">
      <alignment horizontal="center"/>
    </xf>
    <xf numFmtId="14" fontId="9" fillId="0" borderId="0" xfId="0" applyNumberFormat="1" applyFont="1" applyFill="1" applyBorder="1" applyAlignment="1">
      <alignment textRotation="90" wrapText="1"/>
    </xf>
    <xf numFmtId="164" fontId="13" fillId="0" borderId="0" xfId="0" applyNumberFormat="1" applyFont="1"/>
    <xf numFmtId="0" fontId="10" fillId="0" borderId="12" xfId="0" applyFont="1" applyFill="1" applyBorder="1" applyAlignment="1">
      <alignment horizontal="right"/>
    </xf>
    <xf numFmtId="0" fontId="0" fillId="0" borderId="12" xfId="0" applyBorder="1" applyAlignment="1">
      <alignment horizontal="center"/>
    </xf>
    <xf numFmtId="0" fontId="4" fillId="0" borderId="13" xfId="0" applyFont="1" applyBorder="1" applyAlignment="1">
      <alignment horizontal="right"/>
    </xf>
    <xf numFmtId="0" fontId="1" fillId="0" borderId="13" xfId="0" applyFont="1" applyBorder="1"/>
    <xf numFmtId="0" fontId="5" fillId="0" borderId="0" xfId="0" applyFont="1"/>
    <xf numFmtId="0" fontId="2" fillId="0" borderId="14" xfId="0" applyFont="1" applyBorder="1" applyAlignment="1">
      <alignment horizontal="center" wrapText="1"/>
    </xf>
    <xf numFmtId="9" fontId="1" fillId="0" borderId="8" xfId="1" applyFont="1" applyFill="1" applyBorder="1"/>
    <xf numFmtId="0" fontId="0" fillId="0" borderId="5" xfId="0" applyBorder="1"/>
    <xf numFmtId="0" fontId="0" fillId="0" borderId="13" xfId="0" applyFill="1" applyBorder="1" applyAlignment="1">
      <alignment horizontal="center"/>
    </xf>
    <xf numFmtId="49" fontId="14" fillId="0" borderId="0" xfId="0" applyNumberFormat="1" applyFont="1" applyFill="1" applyBorder="1" applyAlignment="1">
      <alignment horizontal="left" wrapText="1"/>
    </xf>
    <xf numFmtId="49" fontId="15" fillId="0" borderId="0" xfId="0" applyNumberFormat="1" applyFont="1" applyFill="1" applyBorder="1" applyAlignment="1">
      <alignment horizontal="left" wrapText="1"/>
    </xf>
    <xf numFmtId="165" fontId="17" fillId="3" borderId="2" xfId="0" applyNumberFormat="1" applyFont="1" applyFill="1" applyBorder="1" applyAlignment="1">
      <alignment horizontal="center"/>
    </xf>
    <xf numFmtId="10" fontId="0" fillId="0" borderId="0" xfId="1" applyNumberFormat="1" applyFont="1"/>
    <xf numFmtId="10" fontId="1" fillId="0" borderId="0" xfId="1" applyNumberFormat="1" applyFont="1"/>
    <xf numFmtId="14" fontId="2" fillId="0" borderId="0" xfId="0" applyNumberFormat="1" applyFont="1" applyFill="1" applyBorder="1" applyAlignment="1">
      <alignment horizontal="center" textRotation="90"/>
    </xf>
    <xf numFmtId="0" fontId="20" fillId="0" borderId="0" xfId="0" applyFont="1"/>
    <xf numFmtId="0" fontId="13" fillId="0" borderId="3" xfId="0" applyFont="1" applyFill="1" applyBorder="1" applyAlignment="1">
      <alignment horizontal="center"/>
    </xf>
    <xf numFmtId="0" fontId="21" fillId="0" borderId="4" xfId="0" applyFont="1" applyFill="1" applyBorder="1" applyAlignment="1">
      <alignment horizontal="left"/>
    </xf>
    <xf numFmtId="0" fontId="20" fillId="0" borderId="5" xfId="0" applyFont="1" applyBorder="1" applyAlignment="1">
      <alignment horizontal="center"/>
    </xf>
    <xf numFmtId="0" fontId="0" fillId="0" borderId="0" xfId="0" applyAlignment="1"/>
    <xf numFmtId="0" fontId="2" fillId="0" borderId="0" xfId="0" applyFont="1"/>
    <xf numFmtId="0" fontId="0" fillId="0" borderId="5" xfId="0" applyBorder="1" applyAlignment="1">
      <alignment horizontal="center"/>
    </xf>
    <xf numFmtId="0" fontId="2" fillId="0" borderId="0" xfId="0" applyFont="1" applyAlignment="1">
      <alignment horizontal="center"/>
    </xf>
    <xf numFmtId="0" fontId="2" fillId="0" borderId="0" xfId="0" applyFont="1" applyAlignment="1">
      <alignment horizontal="left"/>
    </xf>
    <xf numFmtId="0" fontId="2" fillId="0" borderId="5" xfId="0" applyFont="1" applyBorder="1"/>
    <xf numFmtId="0" fontId="23" fillId="0" borderId="0" xfId="0" applyFont="1" applyAlignment="1">
      <alignment vertical="top"/>
    </xf>
    <xf numFmtId="0" fontId="7" fillId="0" borderId="0" xfId="0" applyFont="1" applyBorder="1" applyAlignment="1">
      <alignment horizontal="right" wrapText="1"/>
    </xf>
    <xf numFmtId="0" fontId="1" fillId="0" borderId="5" xfId="0" applyFont="1" applyBorder="1" applyAlignment="1">
      <alignment horizontal="center" textRotation="90" wrapText="1"/>
    </xf>
    <xf numFmtId="14" fontId="2" fillId="2" borderId="16" xfId="0" applyNumberFormat="1" applyFont="1" applyFill="1" applyBorder="1" applyAlignment="1">
      <alignment horizontal="center" textRotation="90" wrapText="1"/>
    </xf>
    <xf numFmtId="0" fontId="8" fillId="0" borderId="6" xfId="0" applyFont="1" applyFill="1" applyBorder="1"/>
    <xf numFmtId="14" fontId="2" fillId="0" borderId="27" xfId="0" applyNumberFormat="1" applyFont="1" applyBorder="1" applyAlignment="1">
      <alignment horizontal="center" textRotation="90"/>
    </xf>
    <xf numFmtId="14" fontId="2" fillId="0" borderId="28" xfId="0" applyNumberFormat="1" applyFont="1" applyBorder="1" applyAlignment="1">
      <alignment horizontal="center" textRotation="90"/>
    </xf>
    <xf numFmtId="14" fontId="2" fillId="4" borderId="28" xfId="0" applyNumberFormat="1" applyFont="1" applyFill="1" applyBorder="1" applyAlignment="1">
      <alignment horizontal="center" textRotation="90"/>
    </xf>
    <xf numFmtId="14" fontId="2" fillId="4" borderId="28" xfId="0" applyNumberFormat="1" applyFont="1" applyFill="1" applyBorder="1" applyAlignment="1">
      <alignment horizontal="center" textRotation="90" wrapText="1"/>
    </xf>
    <xf numFmtId="14" fontId="2" fillId="0" borderId="29" xfId="0" applyNumberFormat="1" applyFont="1" applyBorder="1" applyAlignment="1">
      <alignment horizontal="center" textRotation="90" wrapText="1"/>
    </xf>
    <xf numFmtId="9" fontId="6" fillId="0" borderId="25" xfId="1" applyNumberFormat="1" applyFont="1" applyFill="1" applyBorder="1" applyAlignment="1">
      <alignment horizontal="right" wrapText="1"/>
    </xf>
    <xf numFmtId="0" fontId="11" fillId="0" borderId="30" xfId="0" applyFont="1" applyBorder="1"/>
    <xf numFmtId="10" fontId="1" fillId="0" borderId="0" xfId="0" applyNumberFormat="1" applyFont="1"/>
    <xf numFmtId="1" fontId="1" fillId="0" borderId="0" xfId="0" applyNumberFormat="1" applyFont="1"/>
    <xf numFmtId="1" fontId="0" fillId="0" borderId="18" xfId="0" applyNumberFormat="1" applyBorder="1"/>
    <xf numFmtId="1" fontId="0" fillId="0" borderId="19" xfId="0" applyNumberFormat="1" applyBorder="1"/>
    <xf numFmtId="0" fontId="4" fillId="0" borderId="15" xfId="0" applyFont="1" applyFill="1" applyBorder="1" applyAlignment="1">
      <alignment horizontal="center" wrapText="1"/>
    </xf>
    <xf numFmtId="0" fontId="4" fillId="0" borderId="4" xfId="0" applyFont="1" applyFill="1" applyBorder="1" applyAlignment="1">
      <alignment horizontal="center" wrapText="1"/>
    </xf>
    <xf numFmtId="0" fontId="2" fillId="0" borderId="1" xfId="0" applyFont="1" applyBorder="1" applyAlignment="1">
      <alignment horizontal="center" textRotation="90" wrapText="1"/>
    </xf>
    <xf numFmtId="0" fontId="0" fillId="0" borderId="0" xfId="0" applyFont="1"/>
    <xf numFmtId="0" fontId="24" fillId="0" borderId="31" xfId="0" applyFont="1" applyFill="1" applyBorder="1" applyAlignment="1">
      <alignment horizontal="left" vertical="center" wrapText="1"/>
    </xf>
    <xf numFmtId="0" fontId="1" fillId="0" borderId="0" xfId="0" applyFont="1" applyAlignment="1">
      <alignment horizontal="center"/>
    </xf>
    <xf numFmtId="0" fontId="26" fillId="8" borderId="33" xfId="0" applyFont="1" applyFill="1" applyBorder="1" applyAlignment="1">
      <alignment horizontal="center"/>
    </xf>
    <xf numFmtId="0" fontId="26" fillId="8" borderId="34" xfId="0" applyFont="1" applyFill="1" applyBorder="1" applyAlignment="1">
      <alignment horizontal="center"/>
    </xf>
    <xf numFmtId="0" fontId="25" fillId="0" borderId="35" xfId="0" applyFont="1" applyBorder="1" applyAlignment="1">
      <alignment wrapText="1"/>
    </xf>
    <xf numFmtId="0" fontId="25" fillId="0" borderId="36" xfId="0" applyFont="1" applyBorder="1" applyAlignment="1">
      <alignment horizontal="center"/>
    </xf>
    <xf numFmtId="0" fontId="27" fillId="5" borderId="32" xfId="0" applyFont="1" applyFill="1" applyBorder="1" applyAlignment="1">
      <alignment horizontal="center" vertical="center" wrapText="1"/>
    </xf>
    <xf numFmtId="0" fontId="27" fillId="0" borderId="32" xfId="0" applyFont="1" applyBorder="1" applyAlignment="1">
      <alignment horizontal="center" vertical="center" wrapText="1"/>
    </xf>
    <xf numFmtId="0" fontId="27" fillId="0" borderId="38" xfId="0" applyFont="1" applyBorder="1" applyAlignment="1">
      <alignment horizontal="center" vertical="center" wrapText="1"/>
    </xf>
    <xf numFmtId="0" fontId="27" fillId="5" borderId="37" xfId="0" applyFont="1" applyFill="1" applyBorder="1" applyAlignment="1">
      <alignment horizontal="center" vertical="center"/>
    </xf>
    <xf numFmtId="0" fontId="26" fillId="8" borderId="32" xfId="0" applyFont="1" applyFill="1" applyBorder="1" applyAlignment="1">
      <alignment vertical="top"/>
    </xf>
    <xf numFmtId="0" fontId="27" fillId="5" borderId="32" xfId="0" applyFont="1" applyFill="1" applyBorder="1" applyAlignment="1">
      <alignment vertical="top" wrapText="1"/>
    </xf>
    <xf numFmtId="0" fontId="27" fillId="0" borderId="32" xfId="0" applyFont="1" applyBorder="1" applyAlignment="1">
      <alignment vertical="top" wrapText="1"/>
    </xf>
    <xf numFmtId="0" fontId="0" fillId="0" borderId="0" xfId="0" applyAlignment="1">
      <alignment vertical="top"/>
    </xf>
    <xf numFmtId="0" fontId="28" fillId="5" borderId="32" xfId="0" applyFont="1" applyFill="1" applyBorder="1" applyAlignment="1">
      <alignment vertical="top" wrapText="1"/>
    </xf>
    <xf numFmtId="0" fontId="26" fillId="8" borderId="32" xfId="0" applyFont="1" applyFill="1" applyBorder="1" applyAlignment="1">
      <alignment horizontal="center"/>
    </xf>
    <xf numFmtId="0" fontId="29" fillId="0" borderId="5" xfId="0" applyFont="1" applyBorder="1" applyAlignment="1">
      <alignment horizontal="center" textRotation="90" wrapText="1"/>
    </xf>
    <xf numFmtId="0" fontId="30" fillId="0" borderId="1" xfId="0" applyFont="1" applyBorder="1" applyAlignment="1">
      <alignment horizontal="center" wrapText="1"/>
    </xf>
    <xf numFmtId="168" fontId="30" fillId="0" borderId="2" xfId="0" applyNumberFormat="1" applyFont="1" applyBorder="1" applyAlignment="1">
      <alignment horizontal="center" textRotation="90"/>
    </xf>
    <xf numFmtId="165" fontId="30" fillId="0" borderId="2" xfId="0" applyNumberFormat="1" applyFont="1" applyBorder="1" applyAlignment="1">
      <alignment horizontal="center" textRotation="90"/>
    </xf>
    <xf numFmtId="14" fontId="30" fillId="0" borderId="2" xfId="0" applyNumberFormat="1" applyFont="1" applyBorder="1" applyAlignment="1">
      <alignment horizontal="center" textRotation="90"/>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29" fillId="0" borderId="9" xfId="0" applyFont="1" applyBorder="1" applyAlignment="1">
      <alignment textRotation="90"/>
    </xf>
    <xf numFmtId="165" fontId="29" fillId="0" borderId="17" xfId="0" applyNumberFormat="1" applyFont="1" applyBorder="1" applyAlignment="1">
      <alignment horizontal="center" textRotation="90"/>
    </xf>
    <xf numFmtId="165" fontId="29" fillId="0" borderId="24" xfId="0" applyNumberFormat="1" applyFont="1" applyBorder="1" applyAlignment="1">
      <alignment horizontal="center" textRotation="90"/>
    </xf>
    <xf numFmtId="165" fontId="29" fillId="6" borderId="11" xfId="0" applyNumberFormat="1" applyFont="1" applyFill="1" applyBorder="1" applyAlignment="1">
      <alignment horizontal="center" textRotation="90"/>
    </xf>
    <xf numFmtId="14" fontId="31" fillId="0" borderId="5" xfId="0" applyNumberFormat="1" applyFont="1" applyFill="1" applyBorder="1" applyAlignment="1">
      <alignment horizontal="center" textRotation="90" wrapText="1"/>
    </xf>
    <xf numFmtId="0" fontId="32" fillId="0" borderId="3" xfId="0" applyFont="1" applyBorder="1" applyAlignment="1">
      <alignment horizontal="right" wrapText="1"/>
    </xf>
    <xf numFmtId="0" fontId="29" fillId="0" borderId="4" xfId="0" applyFont="1" applyBorder="1"/>
    <xf numFmtId="167" fontId="33" fillId="6" borderId="5" xfId="0" applyNumberFormat="1" applyFont="1" applyFill="1" applyBorder="1" applyAlignment="1">
      <alignment vertical="top" wrapText="1"/>
    </xf>
    <xf numFmtId="0" fontId="34" fillId="0" borderId="5" xfId="0" applyFont="1" applyFill="1" applyBorder="1" applyAlignment="1">
      <alignment horizontal="center"/>
    </xf>
    <xf numFmtId="0" fontId="34" fillId="0" borderId="6" xfId="0" applyFont="1" applyFill="1" applyBorder="1" applyAlignment="1">
      <alignment horizontal="center"/>
    </xf>
    <xf numFmtId="0" fontId="34" fillId="0" borderId="25" xfId="0" applyFont="1" applyFill="1" applyBorder="1" applyAlignment="1">
      <alignment horizontal="center"/>
    </xf>
    <xf numFmtId="0" fontId="34" fillId="0" borderId="26" xfId="0" applyFont="1" applyFill="1" applyBorder="1" applyAlignment="1">
      <alignment horizontal="center"/>
    </xf>
    <xf numFmtId="0" fontId="34" fillId="0" borderId="7" xfId="0" applyFont="1" applyFill="1" applyBorder="1" applyAlignment="1">
      <alignment horizontal="center"/>
    </xf>
    <xf numFmtId="0" fontId="34" fillId="6" borderId="11" xfId="0" applyFont="1" applyFill="1" applyBorder="1" applyAlignment="1">
      <alignment horizontal="center"/>
    </xf>
    <xf numFmtId="0" fontId="34" fillId="6" borderId="5" xfId="0" applyFont="1" applyFill="1" applyBorder="1" applyAlignment="1">
      <alignment horizontal="center"/>
    </xf>
    <xf numFmtId="0" fontId="29" fillId="0" borderId="19" xfId="0" applyFont="1" applyBorder="1"/>
    <xf numFmtId="0" fontId="29" fillId="0" borderId="19" xfId="0" applyFont="1" applyFill="1" applyBorder="1"/>
    <xf numFmtId="0" fontId="29" fillId="0" borderId="20" xfId="0" applyFont="1" applyFill="1" applyBorder="1"/>
    <xf numFmtId="49" fontId="35" fillId="0" borderId="5" xfId="0" applyNumberFormat="1" applyFont="1" applyBorder="1" applyAlignment="1">
      <alignment vertical="top"/>
    </xf>
    <xf numFmtId="0" fontId="36" fillId="7" borderId="5" xfId="0" applyFont="1" applyFill="1" applyBorder="1" applyAlignment="1">
      <alignment horizontal="center" wrapText="1"/>
    </xf>
    <xf numFmtId="0" fontId="37" fillId="0" borderId="0" xfId="0" applyFont="1" applyBorder="1" applyAlignment="1">
      <alignment horizontal="center" textRotation="90" wrapText="1"/>
    </xf>
    <xf numFmtId="0" fontId="29" fillId="0" borderId="0" xfId="0" applyFont="1"/>
    <xf numFmtId="49" fontId="33" fillId="0" borderId="5" xfId="0" applyNumberFormat="1" applyFont="1" applyBorder="1" applyAlignment="1">
      <alignment vertical="top" textRotation="90"/>
    </xf>
    <xf numFmtId="0" fontId="37" fillId="0" borderId="5" xfId="0" applyFont="1" applyBorder="1" applyAlignment="1">
      <alignment horizontal="center" textRotation="90" wrapText="1"/>
    </xf>
    <xf numFmtId="0" fontId="38" fillId="0" borderId="5" xfId="0" applyFont="1" applyBorder="1" applyAlignment="1">
      <alignment horizontal="center" textRotation="90" wrapText="1"/>
    </xf>
    <xf numFmtId="165" fontId="29" fillId="0" borderId="16" xfId="0" applyNumberFormat="1" applyFont="1" applyBorder="1" applyAlignment="1">
      <alignment horizontal="center" textRotation="90"/>
    </xf>
    <xf numFmtId="0" fontId="36" fillId="7" borderId="6" xfId="0" applyFont="1" applyFill="1" applyBorder="1" applyAlignment="1">
      <alignment horizontal="center" wrapText="1"/>
    </xf>
    <xf numFmtId="0" fontId="0" fillId="0" borderId="5" xfId="0" applyFont="1" applyFill="1" applyBorder="1"/>
    <xf numFmtId="0" fontId="39" fillId="0" borderId="0" xfId="0" applyFont="1" applyFill="1" applyBorder="1" applyAlignment="1">
      <alignment horizontal="left" vertical="center" wrapText="1"/>
    </xf>
    <xf numFmtId="165" fontId="30" fillId="0" borderId="39" xfId="0" applyNumberFormat="1" applyFont="1" applyFill="1" applyBorder="1" applyAlignment="1">
      <alignment horizontal="center" textRotation="90"/>
    </xf>
    <xf numFmtId="49" fontId="33" fillId="6" borderId="5" xfId="0" applyNumberFormat="1" applyFont="1" applyFill="1" applyBorder="1" applyAlignment="1">
      <alignment vertical="top" wrapText="1"/>
    </xf>
    <xf numFmtId="0" fontId="29" fillId="9" borderId="19" xfId="0" applyFont="1" applyFill="1" applyBorder="1"/>
    <xf numFmtId="0" fontId="0" fillId="0" borderId="0" xfId="0" applyFont="1" applyFill="1" applyBorder="1"/>
    <xf numFmtId="14" fontId="40" fillId="0" borderId="0" xfId="0" applyNumberFormat="1" applyFont="1"/>
    <xf numFmtId="0" fontId="40" fillId="0" borderId="0" xfId="0" applyFont="1"/>
    <xf numFmtId="0" fontId="41" fillId="0" borderId="0" xfId="0" applyFont="1" applyAlignment="1">
      <alignment vertical="center"/>
    </xf>
    <xf numFmtId="0" fontId="1" fillId="0" borderId="5" xfId="0" applyFont="1" applyBorder="1"/>
    <xf numFmtId="0" fontId="42" fillId="0" borderId="5" xfId="0" applyFont="1" applyFill="1" applyBorder="1" applyAlignment="1">
      <alignment horizontal="left" vertical="center" wrapText="1"/>
    </xf>
    <xf numFmtId="0" fontId="0" fillId="2" borderId="5" xfId="0" applyFont="1" applyFill="1" applyBorder="1"/>
    <xf numFmtId="0" fontId="0" fillId="6" borderId="5" xfId="0" applyFont="1" applyFill="1" applyBorder="1"/>
    <xf numFmtId="0" fontId="42" fillId="6" borderId="5" xfId="0" applyFont="1" applyFill="1" applyBorder="1" applyAlignment="1">
      <alignment horizontal="left" vertical="center" wrapText="1"/>
    </xf>
    <xf numFmtId="0" fontId="1" fillId="6" borderId="5" xfId="0" applyFont="1" applyFill="1" applyBorder="1"/>
    <xf numFmtId="0" fontId="30" fillId="0" borderId="5" xfId="0" applyFont="1" applyBorder="1" applyAlignment="1">
      <alignment horizontal="center" vertical="center" wrapText="1"/>
    </xf>
    <xf numFmtId="1" fontId="1" fillId="6" borderId="5" xfId="0" applyNumberFormat="1" applyFont="1" applyFill="1" applyBorder="1"/>
    <xf numFmtId="10" fontId="0" fillId="10" borderId="5" xfId="1" applyNumberFormat="1" applyFont="1" applyFill="1" applyBorder="1"/>
    <xf numFmtId="0" fontId="0" fillId="10" borderId="5" xfId="0" applyFont="1" applyFill="1" applyBorder="1"/>
    <xf numFmtId="0" fontId="42" fillId="10" borderId="5" xfId="0" applyFont="1" applyFill="1" applyBorder="1" applyAlignment="1">
      <alignment horizontal="left" vertical="center" wrapText="1"/>
    </xf>
    <xf numFmtId="0" fontId="1" fillId="10" borderId="5" xfId="0" applyFont="1" applyFill="1" applyBorder="1"/>
    <xf numFmtId="0" fontId="0" fillId="2" borderId="5" xfId="0" applyFont="1" applyFill="1" applyBorder="1" applyAlignment="1">
      <alignment vertical="center" textRotation="90" wrapText="1"/>
    </xf>
    <xf numFmtId="0" fontId="30" fillId="0" borderId="21" xfId="0" applyFont="1" applyFill="1" applyBorder="1" applyAlignment="1">
      <alignment horizontal="center" vertical="center" wrapText="1"/>
    </xf>
    <xf numFmtId="0" fontId="30" fillId="0" borderId="22" xfId="0" applyFont="1" applyFill="1" applyBorder="1" applyAlignment="1">
      <alignment horizontal="center" vertical="center" wrapText="1"/>
    </xf>
    <xf numFmtId="0" fontId="30" fillId="0" borderId="13"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29" fillId="0" borderId="0" xfId="0" applyFont="1" applyAlignment="1">
      <alignment horizontal="center"/>
    </xf>
    <xf numFmtId="0" fontId="19" fillId="0" borderId="0" xfId="0" applyFont="1" applyAlignment="1">
      <alignment horizontal="center" wrapText="1"/>
    </xf>
    <xf numFmtId="0" fontId="19" fillId="0" borderId="0" xfId="0" applyFont="1" applyAlignment="1">
      <alignment horizontal="center"/>
    </xf>
    <xf numFmtId="0" fontId="2" fillId="0" borderId="0" xfId="0" applyFont="1" applyAlignment="1">
      <alignment horizontal="center"/>
    </xf>
    <xf numFmtId="0" fontId="30" fillId="0" borderId="5" xfId="0" applyFont="1" applyBorder="1" applyAlignment="1">
      <alignment horizontal="center" vertical="center" wrapText="1"/>
    </xf>
    <xf numFmtId="0" fontId="30" fillId="0" borderId="11" xfId="0" applyFont="1" applyBorder="1" applyAlignment="1">
      <alignment horizontal="center" vertical="center" wrapText="1"/>
    </xf>
    <xf numFmtId="0" fontId="30" fillId="0" borderId="8" xfId="0" applyFont="1" applyBorder="1" applyAlignment="1">
      <alignment horizontal="center" vertical="center" wrapText="1"/>
    </xf>
    <xf numFmtId="0" fontId="42" fillId="6" borderId="11" xfId="0" applyFont="1" applyFill="1" applyBorder="1" applyAlignment="1">
      <alignment horizontal="left" vertical="center" wrapText="1"/>
    </xf>
    <xf numFmtId="0" fontId="42" fillId="6" borderId="8" xfId="0" applyFont="1" applyFill="1" applyBorder="1" applyAlignment="1">
      <alignment horizontal="left" vertical="center" wrapText="1"/>
    </xf>
    <xf numFmtId="0" fontId="42" fillId="0" borderId="11" xfId="0" applyFont="1" applyFill="1" applyBorder="1" applyAlignment="1">
      <alignment horizontal="left" vertical="center" wrapText="1"/>
    </xf>
    <xf numFmtId="0" fontId="42" fillId="0" borderId="8" xfId="0" applyFont="1" applyFill="1" applyBorder="1" applyAlignment="1">
      <alignment horizontal="left" vertical="center" wrapText="1"/>
    </xf>
    <xf numFmtId="0" fontId="0" fillId="0" borderId="0" xfId="0" applyAlignment="1">
      <alignment horizontal="left" wrapText="1"/>
    </xf>
    <xf numFmtId="0" fontId="1" fillId="0" borderId="5" xfId="0" applyNumberFormat="1" applyFont="1" applyBorder="1"/>
    <xf numFmtId="0" fontId="1" fillId="6" borderId="5" xfId="0" applyNumberFormat="1" applyFont="1" applyFill="1" applyBorder="1"/>
    <xf numFmtId="0" fontId="1" fillId="10" borderId="5" xfId="0" applyNumberFormat="1" applyFont="1" applyFill="1" applyBorder="1"/>
  </cellXfs>
  <cellStyles count="2">
    <cellStyle name="Обычный" xfId="0" builtinId="0"/>
    <cellStyle name="Процентный" xfId="1" builtinId="5"/>
  </cellStyles>
  <dxfs count="45">
    <dxf>
      <font>
        <b/>
        <i val="0"/>
        <condense val="0"/>
        <extend val="0"/>
        <color indexed="58"/>
      </font>
      <fill>
        <patternFill>
          <bgColor indexed="42"/>
        </patternFill>
      </fill>
    </dxf>
    <dxf>
      <font>
        <b/>
        <i val="0"/>
        <condense val="0"/>
        <extend val="0"/>
        <color indexed="18"/>
      </font>
    </dxf>
    <dxf>
      <font>
        <b/>
        <i val="0"/>
        <condense val="0"/>
        <extend val="0"/>
        <color indexed="10"/>
      </font>
    </dxf>
    <dxf>
      <font>
        <b/>
        <i val="0"/>
        <condense val="0"/>
        <extend val="0"/>
        <color indexed="58"/>
      </font>
      <fill>
        <patternFill>
          <bgColor indexed="42"/>
        </patternFill>
      </fill>
    </dxf>
    <dxf>
      <font>
        <b/>
        <i val="0"/>
        <condense val="0"/>
        <extend val="0"/>
        <color indexed="18"/>
      </font>
    </dxf>
    <dxf>
      <font>
        <b/>
        <i val="0"/>
        <condense val="0"/>
        <extend val="0"/>
        <color indexed="10"/>
      </font>
      <fill>
        <patternFill>
          <bgColor indexed="52"/>
        </patternFill>
      </fill>
    </dxf>
    <dxf>
      <font>
        <b/>
        <i val="0"/>
        <condense val="0"/>
        <extend val="0"/>
        <color indexed="10"/>
      </font>
    </dxf>
    <dxf>
      <font>
        <b/>
        <i val="0"/>
        <condense val="0"/>
        <extend val="0"/>
        <color indexed="10"/>
      </font>
    </dxf>
    <dxf>
      <font>
        <b val="0"/>
        <i val="0"/>
        <condense val="0"/>
        <extend val="0"/>
        <color auto="1"/>
      </font>
    </dxf>
    <dxf>
      <font>
        <b/>
        <i val="0"/>
        <condense val="0"/>
        <extend val="0"/>
        <color indexed="10"/>
      </font>
    </dxf>
    <dxf>
      <font>
        <b/>
        <i val="0"/>
        <condense val="0"/>
        <extend val="0"/>
        <color indexed="58"/>
      </font>
      <fill>
        <patternFill>
          <bgColor indexed="42"/>
        </patternFill>
      </fill>
    </dxf>
    <dxf>
      <font>
        <b/>
        <i val="0"/>
        <condense val="0"/>
        <extend val="0"/>
        <color indexed="58"/>
      </font>
      <fill>
        <patternFill>
          <bgColor indexed="42"/>
        </patternFill>
      </fill>
    </dxf>
    <dxf>
      <font>
        <b/>
        <i val="0"/>
        <condense val="0"/>
        <extend val="0"/>
        <color indexed="18"/>
      </font>
    </dxf>
    <dxf>
      <font>
        <b/>
        <i val="0"/>
        <condense val="0"/>
        <extend val="0"/>
        <color indexed="10"/>
      </font>
      <fill>
        <patternFill>
          <bgColor indexed="52"/>
        </patternFill>
      </fill>
    </dxf>
    <dxf>
      <font>
        <b/>
        <i/>
        <condense val="0"/>
        <extend val="0"/>
        <color indexed="17"/>
      </font>
    </dxf>
    <dxf>
      <font>
        <b/>
        <i/>
        <condense val="0"/>
        <extend val="0"/>
        <color indexed="12"/>
      </font>
      <fill>
        <patternFill patternType="solid">
          <bgColor indexed="44"/>
        </patternFill>
      </fill>
    </dxf>
    <dxf>
      <font>
        <b/>
        <i val="0"/>
        <condense val="0"/>
        <extend val="0"/>
        <color indexed="10"/>
      </font>
    </dxf>
    <dxf>
      <fill>
        <patternFill>
          <bgColor indexed="13"/>
        </patternFill>
      </fill>
    </dxf>
    <dxf>
      <fill>
        <patternFill>
          <bgColor indexed="13"/>
        </patternFill>
      </fill>
    </dxf>
    <dxf>
      <font>
        <condense val="0"/>
        <extend val="0"/>
        <color indexed="17"/>
      </font>
    </dxf>
    <dxf>
      <font>
        <condense val="0"/>
        <extend val="0"/>
        <color indexed="12"/>
      </font>
    </dxf>
    <dxf>
      <font>
        <condense val="0"/>
        <extend val="0"/>
        <color indexed="10"/>
      </font>
    </dxf>
    <dxf>
      <font>
        <b/>
        <i val="0"/>
        <condense val="0"/>
        <extend val="0"/>
        <color indexed="58"/>
      </font>
      <fill>
        <patternFill>
          <bgColor indexed="42"/>
        </patternFill>
      </fill>
    </dxf>
    <dxf>
      <font>
        <b/>
        <i val="0"/>
        <color rgb="FF003300"/>
        <name val="Cambria"/>
        <scheme val="none"/>
      </font>
      <fill>
        <patternFill>
          <bgColor rgb="FFCCFFCC"/>
        </patternFill>
      </fill>
    </dxf>
    <dxf>
      <font>
        <b/>
        <i val="0"/>
        <condense val="0"/>
        <extend val="0"/>
        <color indexed="58"/>
      </font>
      <fill>
        <patternFill>
          <bgColor indexed="13"/>
        </patternFill>
      </fill>
    </dxf>
    <dxf>
      <font>
        <b/>
        <i val="0"/>
        <color rgb="FF003300"/>
      </font>
      <fill>
        <patternFill>
          <bgColor rgb="FFFFFF00"/>
        </patternFill>
      </fill>
    </dxf>
    <dxf>
      <font>
        <b/>
        <i val="0"/>
        <condense val="0"/>
        <extend val="0"/>
        <color indexed="58"/>
      </font>
      <fill>
        <patternFill>
          <bgColor indexed="42"/>
        </patternFill>
      </fill>
    </dxf>
    <dxf>
      <font>
        <b/>
        <i val="0"/>
        <condense val="0"/>
        <extend val="0"/>
        <color indexed="18"/>
      </font>
      <fill>
        <patternFill>
          <bgColor indexed="44"/>
        </patternFill>
      </fill>
    </dxf>
    <dxf>
      <font>
        <b/>
        <i val="0"/>
        <condense val="0"/>
        <extend val="0"/>
        <color indexed="58"/>
      </font>
      <fill>
        <patternFill>
          <bgColor indexed="13"/>
        </patternFill>
      </fill>
    </dxf>
    <dxf>
      <font>
        <b/>
        <i val="0"/>
        <condense val="0"/>
        <extend val="0"/>
        <color indexed="58"/>
      </font>
      <fill>
        <patternFill>
          <bgColor indexed="42"/>
        </patternFill>
      </fill>
    </dxf>
    <dxf>
      <font>
        <b/>
        <i val="0"/>
        <color rgb="FF003300"/>
        <name val="Cambria"/>
        <scheme val="none"/>
      </font>
      <fill>
        <patternFill>
          <bgColor rgb="FFCCFFCC"/>
        </patternFill>
      </fill>
    </dxf>
    <dxf>
      <font>
        <b/>
        <i val="0"/>
        <condense val="0"/>
        <extend val="0"/>
        <color indexed="58"/>
      </font>
      <fill>
        <patternFill>
          <bgColor indexed="13"/>
        </patternFill>
      </fill>
    </dxf>
    <dxf>
      <font>
        <b/>
        <i val="0"/>
        <color rgb="FF003300"/>
      </font>
      <fill>
        <patternFill>
          <bgColor rgb="FFFFFF00"/>
        </patternFill>
      </fill>
    </dxf>
    <dxf>
      <font>
        <b/>
        <i val="0"/>
        <condense val="0"/>
        <extend val="0"/>
        <color indexed="58"/>
      </font>
      <fill>
        <patternFill>
          <bgColor indexed="42"/>
        </patternFill>
      </fill>
    </dxf>
    <dxf>
      <font>
        <b/>
        <i val="0"/>
        <condense val="0"/>
        <extend val="0"/>
        <color indexed="18"/>
      </font>
    </dxf>
    <dxf>
      <font>
        <b/>
        <i val="0"/>
        <condense val="0"/>
        <extend val="0"/>
        <color indexed="10"/>
      </font>
      <fill>
        <patternFill>
          <bgColor indexed="52"/>
        </patternFill>
      </fill>
    </dxf>
    <dxf>
      <font>
        <b/>
        <i val="0"/>
        <condense val="0"/>
        <extend val="0"/>
        <color indexed="58"/>
      </font>
      <fill>
        <patternFill>
          <bgColor indexed="42"/>
        </patternFill>
      </fill>
    </dxf>
    <dxf>
      <font>
        <b/>
        <i val="0"/>
        <condense val="0"/>
        <extend val="0"/>
        <color indexed="18"/>
      </font>
      <fill>
        <patternFill>
          <bgColor indexed="44"/>
        </patternFill>
      </fill>
    </dxf>
    <dxf>
      <font>
        <b/>
        <i val="0"/>
        <condense val="0"/>
        <extend val="0"/>
        <color indexed="58"/>
      </font>
      <fill>
        <patternFill>
          <bgColor indexed="13"/>
        </patternFill>
      </fill>
    </dxf>
    <dxf>
      <font>
        <b/>
        <i val="0"/>
        <condense val="0"/>
        <extend val="0"/>
        <color indexed="58"/>
      </font>
      <fill>
        <patternFill>
          <bgColor indexed="42"/>
        </patternFill>
      </fill>
    </dxf>
    <dxf>
      <font>
        <b/>
        <i val="0"/>
        <condense val="0"/>
        <extend val="0"/>
        <color indexed="18"/>
      </font>
      <fill>
        <patternFill>
          <bgColor indexed="44"/>
        </patternFill>
      </fill>
    </dxf>
    <dxf>
      <font>
        <b/>
        <i val="0"/>
        <condense val="0"/>
        <extend val="0"/>
        <color indexed="58"/>
      </font>
      <fill>
        <patternFill>
          <bgColor indexed="13"/>
        </patternFill>
      </fill>
    </dxf>
    <dxf>
      <font>
        <b/>
        <i val="0"/>
        <condense val="0"/>
        <extend val="0"/>
        <color indexed="58"/>
      </font>
      <fill>
        <patternFill>
          <bgColor indexed="42"/>
        </patternFill>
      </fill>
    </dxf>
    <dxf>
      <font>
        <b/>
        <i val="0"/>
        <condense val="0"/>
        <extend val="0"/>
        <color indexed="18"/>
      </font>
    </dxf>
    <dxf>
      <font>
        <b/>
        <i val="0"/>
        <condense val="0"/>
        <extend val="0"/>
        <color indexed="10"/>
      </font>
    </dxf>
  </dxfs>
  <tableStyles count="0" defaultTableStyle="TableStyleMedium9" defaultPivotStyle="PivotStyleLight16"/>
  <colors>
    <mruColors>
      <color rgb="FFCCFFCC"/>
      <color rgb="FF99FF99"/>
      <color rgb="FF0033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pageSetUpPr fitToPage="1"/>
  </sheetPr>
  <dimension ref="A1:R33"/>
  <sheetViews>
    <sheetView workbookViewId="0">
      <pane xSplit="2" ySplit="1" topLeftCell="C2" activePane="bottomRight" state="frozen"/>
      <selection activeCell="C1" sqref="C1:I1"/>
      <selection pane="topRight" activeCell="C1" sqref="C1:I1"/>
      <selection pane="bottomLeft" activeCell="C1" sqref="C1:I1"/>
      <selection pane="bottomRight" activeCell="P9" sqref="P9"/>
    </sheetView>
  </sheetViews>
  <sheetFormatPr defaultRowHeight="12.75" x14ac:dyDescent="0.2"/>
  <cols>
    <col min="1" max="1" width="3" style="18" bestFit="1" customWidth="1"/>
    <col min="2" max="2" width="38.7109375" style="18" bestFit="1" customWidth="1"/>
    <col min="3" max="10" width="7.7109375" style="18" customWidth="1"/>
    <col min="11" max="11" width="7.140625" style="18" bestFit="1" customWidth="1"/>
    <col min="12" max="12" width="4.140625" style="18" customWidth="1"/>
    <col min="13" max="13" width="5" style="18" hidden="1" customWidth="1"/>
    <col min="14" max="15" width="9.42578125" style="18" customWidth="1"/>
    <col min="16" max="16" width="21.42578125" style="18" bestFit="1" customWidth="1"/>
    <col min="17" max="16384" width="9.140625" style="18"/>
  </cols>
  <sheetData>
    <row r="1" spans="1:18" ht="81" customHeight="1" thickBot="1" x14ac:dyDescent="0.25">
      <c r="A1" s="88" t="s">
        <v>0</v>
      </c>
      <c r="B1" s="88" t="s">
        <v>1</v>
      </c>
      <c r="C1" s="89" t="s">
        <v>67</v>
      </c>
      <c r="D1" s="90" t="s">
        <v>68</v>
      </c>
      <c r="E1" s="90" t="s">
        <v>69</v>
      </c>
      <c r="F1" s="90" t="s">
        <v>70</v>
      </c>
      <c r="G1" s="90" t="s">
        <v>71</v>
      </c>
      <c r="H1" s="90" t="s">
        <v>72</v>
      </c>
      <c r="I1" s="90" t="s">
        <v>73</v>
      </c>
      <c r="J1" s="90" t="s">
        <v>74</v>
      </c>
      <c r="K1" s="91" t="s">
        <v>66</v>
      </c>
      <c r="L1" s="123" t="s">
        <v>143</v>
      </c>
      <c r="M1" s="21" t="s">
        <v>27</v>
      </c>
      <c r="N1" s="40"/>
      <c r="O1" s="40"/>
    </row>
    <row r="2" spans="1:18" ht="15" x14ac:dyDescent="0.2">
      <c r="A2" s="14">
        <v>1</v>
      </c>
      <c r="B2" s="71" t="s">
        <v>50</v>
      </c>
      <c r="C2" s="17" t="s">
        <v>128</v>
      </c>
      <c r="D2" s="17" t="s">
        <v>128</v>
      </c>
      <c r="E2" s="17" t="s">
        <v>128</v>
      </c>
      <c r="F2" s="17" t="s">
        <v>128</v>
      </c>
      <c r="G2" s="17" t="s">
        <v>128</v>
      </c>
      <c r="H2" s="17" t="s">
        <v>128</v>
      </c>
      <c r="I2" s="17"/>
      <c r="J2" s="17"/>
      <c r="K2" s="121">
        <v>4</v>
      </c>
      <c r="L2" s="18">
        <v>2</v>
      </c>
      <c r="M2" s="22">
        <v>6.1</v>
      </c>
      <c r="N2" s="38"/>
    </row>
    <row r="3" spans="1:18" ht="15" x14ac:dyDescent="0.2">
      <c r="A3" s="14">
        <v>2</v>
      </c>
      <c r="B3" s="71" t="s">
        <v>51</v>
      </c>
      <c r="C3" s="17"/>
      <c r="D3" s="17"/>
      <c r="E3" s="17"/>
      <c r="F3" s="17" t="s">
        <v>128</v>
      </c>
      <c r="G3" s="17" t="s">
        <v>128</v>
      </c>
      <c r="H3" s="17" t="s">
        <v>128</v>
      </c>
      <c r="I3" s="17"/>
      <c r="J3" s="17" t="s">
        <v>128</v>
      </c>
      <c r="K3" s="121">
        <v>3</v>
      </c>
      <c r="L3" s="18">
        <v>3</v>
      </c>
      <c r="M3" s="22">
        <v>5.8</v>
      </c>
      <c r="N3" s="39"/>
      <c r="O3" s="70"/>
    </row>
    <row r="4" spans="1:18" ht="15" x14ac:dyDescent="0.2">
      <c r="A4" s="14">
        <v>3</v>
      </c>
      <c r="B4" s="71" t="s">
        <v>52</v>
      </c>
      <c r="C4" s="17"/>
      <c r="D4" s="17"/>
      <c r="E4" s="17"/>
      <c r="F4" s="17" t="s">
        <v>128</v>
      </c>
      <c r="G4" s="17"/>
      <c r="H4" s="17"/>
      <c r="I4" s="17"/>
      <c r="J4" s="17" t="s">
        <v>128</v>
      </c>
      <c r="K4" s="121">
        <v>9</v>
      </c>
      <c r="L4" s="18">
        <v>11</v>
      </c>
      <c r="M4" s="22">
        <v>5.03</v>
      </c>
      <c r="N4" s="38"/>
      <c r="R4" s="63"/>
    </row>
    <row r="5" spans="1:18" ht="15" x14ac:dyDescent="0.2">
      <c r="A5" s="14">
        <v>4</v>
      </c>
      <c r="B5" s="71" t="s">
        <v>53</v>
      </c>
      <c r="C5" s="17"/>
      <c r="D5" s="17"/>
      <c r="E5" s="17"/>
      <c r="F5" s="17" t="s">
        <v>128</v>
      </c>
      <c r="G5" s="17" t="s">
        <v>128</v>
      </c>
      <c r="H5" s="17" t="s">
        <v>128</v>
      </c>
      <c r="I5" s="17"/>
      <c r="J5" s="17"/>
      <c r="K5" s="121">
        <v>3</v>
      </c>
      <c r="L5" s="18">
        <v>12</v>
      </c>
      <c r="M5" s="22">
        <v>4.63</v>
      </c>
      <c r="N5" s="38"/>
      <c r="O5" s="70"/>
      <c r="R5" s="63"/>
    </row>
    <row r="6" spans="1:18" ht="15" x14ac:dyDescent="0.2">
      <c r="A6" s="14">
        <v>5</v>
      </c>
      <c r="B6" s="71" t="s">
        <v>54</v>
      </c>
      <c r="C6" s="17" t="s">
        <v>128</v>
      </c>
      <c r="D6" s="17" t="s">
        <v>128</v>
      </c>
      <c r="E6" s="17" t="s">
        <v>128</v>
      </c>
      <c r="F6" s="17" t="s">
        <v>128</v>
      </c>
      <c r="G6" s="17" t="s">
        <v>128</v>
      </c>
      <c r="H6" s="17" t="s">
        <v>128</v>
      </c>
      <c r="I6" s="17" t="s">
        <v>128</v>
      </c>
      <c r="J6" s="17" t="s">
        <v>128</v>
      </c>
      <c r="K6" s="121">
        <v>3</v>
      </c>
      <c r="L6" s="126">
        <v>8</v>
      </c>
      <c r="M6" s="22"/>
      <c r="N6" s="38"/>
      <c r="O6" s="70"/>
      <c r="R6" s="63"/>
    </row>
    <row r="7" spans="1:18" ht="15" x14ac:dyDescent="0.2">
      <c r="A7" s="14">
        <v>6</v>
      </c>
      <c r="B7" s="71" t="s">
        <v>55</v>
      </c>
      <c r="C7" s="17" t="s">
        <v>128</v>
      </c>
      <c r="D7" s="17"/>
      <c r="E7" s="17"/>
      <c r="F7" s="17"/>
      <c r="G7" s="17" t="s">
        <v>128</v>
      </c>
      <c r="H7" s="17" t="s">
        <v>128</v>
      </c>
      <c r="I7" s="17"/>
      <c r="J7" s="17" t="s">
        <v>128</v>
      </c>
      <c r="K7" s="121">
        <v>4</v>
      </c>
      <c r="L7" s="70">
        <v>4</v>
      </c>
      <c r="M7" s="22"/>
      <c r="N7" s="38"/>
      <c r="O7" s="70"/>
      <c r="R7" s="63"/>
    </row>
    <row r="8" spans="1:18" ht="15" x14ac:dyDescent="0.2">
      <c r="A8" s="14">
        <v>7</v>
      </c>
      <c r="B8" s="71" t="s">
        <v>56</v>
      </c>
      <c r="C8" s="17"/>
      <c r="D8" s="17"/>
      <c r="E8" s="17" t="s">
        <v>128</v>
      </c>
      <c r="F8" s="17"/>
      <c r="G8" s="17"/>
      <c r="H8" s="17"/>
      <c r="I8" s="17"/>
      <c r="J8" s="17"/>
      <c r="K8" s="121">
        <v>9</v>
      </c>
      <c r="L8" s="70">
        <v>11</v>
      </c>
      <c r="M8" s="22"/>
      <c r="N8" s="38"/>
      <c r="O8" s="70"/>
      <c r="R8" s="63"/>
    </row>
    <row r="9" spans="1:18" ht="15" x14ac:dyDescent="0.2">
      <c r="A9" s="14">
        <v>8</v>
      </c>
      <c r="B9" s="71" t="s">
        <v>57</v>
      </c>
      <c r="C9" s="17" t="s">
        <v>128</v>
      </c>
      <c r="D9" s="17"/>
      <c r="E9" s="17" t="s">
        <v>128</v>
      </c>
      <c r="F9" s="17" t="s">
        <v>128</v>
      </c>
      <c r="G9" s="17" t="s">
        <v>128</v>
      </c>
      <c r="H9" s="17"/>
      <c r="I9" s="17" t="s">
        <v>128</v>
      </c>
      <c r="J9" s="17" t="s">
        <v>128</v>
      </c>
      <c r="K9" s="121">
        <v>3</v>
      </c>
      <c r="L9" s="70">
        <v>12</v>
      </c>
      <c r="M9" s="22"/>
      <c r="N9" s="38"/>
      <c r="O9" s="70"/>
      <c r="R9" s="63"/>
    </row>
    <row r="10" spans="1:18" ht="15" x14ac:dyDescent="0.2">
      <c r="A10" s="14">
        <v>9</v>
      </c>
      <c r="B10" s="71" t="s">
        <v>58</v>
      </c>
      <c r="C10" s="17"/>
      <c r="D10" s="17"/>
      <c r="E10" s="17" t="s">
        <v>128</v>
      </c>
      <c r="F10" s="17"/>
      <c r="G10" s="17"/>
      <c r="H10" s="17"/>
      <c r="I10" s="17" t="s">
        <v>128</v>
      </c>
      <c r="J10" s="17"/>
      <c r="K10" s="121">
        <v>3</v>
      </c>
      <c r="L10" s="70">
        <v>1</v>
      </c>
      <c r="M10" s="22"/>
      <c r="N10" s="38"/>
      <c r="O10" s="70"/>
      <c r="R10" s="63"/>
    </row>
    <row r="11" spans="1:18" ht="15" x14ac:dyDescent="0.2">
      <c r="A11" s="14">
        <v>10</v>
      </c>
      <c r="B11" s="71" t="s">
        <v>59</v>
      </c>
      <c r="C11" s="17"/>
      <c r="D11" s="17"/>
      <c r="E11" s="17"/>
      <c r="F11" s="17"/>
      <c r="G11" s="17"/>
      <c r="H11" s="17"/>
      <c r="I11" s="17" t="s">
        <v>128</v>
      </c>
      <c r="J11" s="17" t="s">
        <v>128</v>
      </c>
      <c r="K11" s="121">
        <v>5</v>
      </c>
      <c r="L11" s="70">
        <v>6</v>
      </c>
      <c r="M11" s="22"/>
      <c r="N11" s="38"/>
      <c r="R11" s="63"/>
    </row>
    <row r="12" spans="1:18" ht="15" x14ac:dyDescent="0.2">
      <c r="A12" s="14">
        <v>11</v>
      </c>
      <c r="B12" s="71" t="s">
        <v>60</v>
      </c>
      <c r="C12" s="17"/>
      <c r="D12" s="17"/>
      <c r="E12" s="17" t="s">
        <v>128</v>
      </c>
      <c r="F12" s="17" t="s">
        <v>128</v>
      </c>
      <c r="G12" s="17" t="s">
        <v>128</v>
      </c>
      <c r="H12" s="17"/>
      <c r="I12" s="17" t="s">
        <v>128</v>
      </c>
      <c r="J12" s="17"/>
      <c r="K12" s="121">
        <v>0</v>
      </c>
      <c r="L12" s="70">
        <v>5</v>
      </c>
      <c r="M12" s="22"/>
      <c r="N12" s="38"/>
      <c r="O12" s="70"/>
      <c r="R12" s="63"/>
    </row>
    <row r="13" spans="1:18" ht="15" x14ac:dyDescent="0.2">
      <c r="A13" s="14">
        <v>12</v>
      </c>
      <c r="B13" s="71" t="s">
        <v>61</v>
      </c>
      <c r="C13" s="17"/>
      <c r="D13" s="17"/>
      <c r="E13" s="17"/>
      <c r="F13" s="17"/>
      <c r="G13" s="17"/>
      <c r="H13" s="17"/>
      <c r="I13" s="17"/>
      <c r="J13" s="17"/>
      <c r="K13" s="121">
        <v>8</v>
      </c>
      <c r="L13" s="70">
        <v>13</v>
      </c>
      <c r="M13" s="22"/>
      <c r="N13" s="38"/>
      <c r="O13" s="70"/>
      <c r="R13" s="63"/>
    </row>
    <row r="14" spans="1:18" ht="15" x14ac:dyDescent="0.2">
      <c r="A14" s="14">
        <v>13</v>
      </c>
      <c r="B14" s="71" t="s">
        <v>62</v>
      </c>
      <c r="C14" s="17"/>
      <c r="D14" s="17"/>
      <c r="E14" s="17"/>
      <c r="F14" s="17"/>
      <c r="G14" s="17"/>
      <c r="H14" s="17"/>
      <c r="I14" s="17"/>
      <c r="J14" s="17"/>
      <c r="K14" s="121">
        <v>3</v>
      </c>
      <c r="L14" s="70">
        <v>3</v>
      </c>
      <c r="M14" s="22"/>
      <c r="N14" s="38"/>
      <c r="P14" s="64"/>
      <c r="R14" s="63"/>
    </row>
    <row r="15" spans="1:18" ht="15" x14ac:dyDescent="0.2">
      <c r="A15" s="14">
        <v>14</v>
      </c>
      <c r="B15" s="71" t="s">
        <v>63</v>
      </c>
      <c r="C15" s="17"/>
      <c r="D15" s="17" t="s">
        <v>128</v>
      </c>
      <c r="E15" s="17"/>
      <c r="F15" s="17" t="s">
        <v>128</v>
      </c>
      <c r="G15" s="17"/>
      <c r="H15" s="17"/>
      <c r="I15" s="17" t="s">
        <v>128</v>
      </c>
      <c r="J15" s="17" t="s">
        <v>128</v>
      </c>
      <c r="K15" s="121">
        <v>3</v>
      </c>
      <c r="L15" s="70">
        <v>9</v>
      </c>
      <c r="M15" s="22"/>
      <c r="N15" s="38"/>
      <c r="O15" s="70"/>
      <c r="R15" s="63"/>
    </row>
    <row r="16" spans="1:18" ht="15" x14ac:dyDescent="0.2">
      <c r="A16" s="14">
        <v>15</v>
      </c>
      <c r="B16" s="71" t="s">
        <v>64</v>
      </c>
      <c r="C16" s="17" t="s">
        <v>128</v>
      </c>
      <c r="D16" s="17" t="s">
        <v>128</v>
      </c>
      <c r="E16" s="17" t="s">
        <v>128</v>
      </c>
      <c r="F16" s="17" t="s">
        <v>128</v>
      </c>
      <c r="G16" s="17"/>
      <c r="H16" s="17"/>
      <c r="I16" s="17"/>
      <c r="J16" s="17"/>
      <c r="K16" s="121">
        <v>4</v>
      </c>
      <c r="L16" s="70">
        <v>7</v>
      </c>
      <c r="M16" s="22"/>
      <c r="N16" s="38"/>
      <c r="O16" s="38"/>
      <c r="R16" s="63"/>
    </row>
    <row r="17" spans="1:18" ht="15" x14ac:dyDescent="0.2">
      <c r="A17" s="14">
        <v>16</v>
      </c>
      <c r="B17" s="71" t="s">
        <v>65</v>
      </c>
      <c r="C17" s="17" t="s">
        <v>128</v>
      </c>
      <c r="D17" s="17"/>
      <c r="E17" s="17"/>
      <c r="F17" s="17" t="s">
        <v>128</v>
      </c>
      <c r="G17" s="17" t="s">
        <v>128</v>
      </c>
      <c r="H17" s="17"/>
      <c r="I17" s="17" t="s">
        <v>128</v>
      </c>
      <c r="J17" s="17" t="s">
        <v>128</v>
      </c>
      <c r="K17" s="121">
        <v>3</v>
      </c>
      <c r="L17" s="70">
        <v>4</v>
      </c>
      <c r="M17" s="22">
        <v>4.7</v>
      </c>
      <c r="N17" s="38"/>
      <c r="R17" s="63"/>
    </row>
    <row r="18" spans="1:18" s="20" customFormat="1" ht="166.5" customHeight="1" x14ac:dyDescent="0.2">
      <c r="A18" s="19"/>
      <c r="B18" s="15" t="s">
        <v>2</v>
      </c>
      <c r="C18" s="87" t="s">
        <v>79</v>
      </c>
      <c r="D18" s="87" t="s">
        <v>80</v>
      </c>
      <c r="E18" s="87" t="s">
        <v>81</v>
      </c>
      <c r="F18" s="87" t="s">
        <v>81</v>
      </c>
      <c r="G18" s="87" t="s">
        <v>75</v>
      </c>
      <c r="H18" s="87" t="s">
        <v>76</v>
      </c>
      <c r="I18" s="87" t="s">
        <v>77</v>
      </c>
      <c r="J18" s="87" t="s">
        <v>78</v>
      </c>
      <c r="K18" s="53"/>
    </row>
    <row r="19" spans="1:18" x14ac:dyDescent="0.2">
      <c r="C19" s="72">
        <v>1</v>
      </c>
      <c r="D19" s="72">
        <v>2</v>
      </c>
      <c r="E19" s="72">
        <v>3</v>
      </c>
      <c r="F19" s="72">
        <v>4</v>
      </c>
      <c r="G19" s="72">
        <v>5</v>
      </c>
      <c r="H19" s="72">
        <v>6</v>
      </c>
      <c r="I19" s="72">
        <v>7</v>
      </c>
      <c r="J19" s="72">
        <v>8</v>
      </c>
    </row>
    <row r="20" spans="1:18" ht="15" x14ac:dyDescent="0.2">
      <c r="B20" s="122" t="s">
        <v>142</v>
      </c>
    </row>
    <row r="21" spans="1:18" x14ac:dyDescent="0.2">
      <c r="B21" s="18" t="s">
        <v>129</v>
      </c>
    </row>
    <row r="22" spans="1:18" x14ac:dyDescent="0.2">
      <c r="B22" s="18" t="s">
        <v>130</v>
      </c>
    </row>
    <row r="23" spans="1:18" x14ac:dyDescent="0.2">
      <c r="B23" s="18" t="s">
        <v>131</v>
      </c>
      <c r="E23" s="64"/>
    </row>
    <row r="24" spans="1:18" x14ac:dyDescent="0.2">
      <c r="B24" s="18" t="s">
        <v>132</v>
      </c>
      <c r="E24" s="64"/>
    </row>
    <row r="25" spans="1:18" x14ac:dyDescent="0.2">
      <c r="B25" s="18" t="s">
        <v>133</v>
      </c>
      <c r="E25" s="64"/>
    </row>
    <row r="26" spans="1:18" x14ac:dyDescent="0.2">
      <c r="B26" s="18" t="s">
        <v>134</v>
      </c>
    </row>
    <row r="27" spans="1:18" x14ac:dyDescent="0.2">
      <c r="B27" s="18" t="s">
        <v>135</v>
      </c>
    </row>
    <row r="28" spans="1:18" x14ac:dyDescent="0.2">
      <c r="B28" s="18" t="s">
        <v>136</v>
      </c>
    </row>
    <row r="29" spans="1:18" x14ac:dyDescent="0.2">
      <c r="B29" s="18" t="s">
        <v>137</v>
      </c>
    </row>
    <row r="30" spans="1:18" x14ac:dyDescent="0.2">
      <c r="B30" s="18" t="s">
        <v>138</v>
      </c>
    </row>
    <row r="31" spans="1:18" x14ac:dyDescent="0.2">
      <c r="B31" s="18" t="s">
        <v>139</v>
      </c>
    </row>
    <row r="32" spans="1:18" x14ac:dyDescent="0.2">
      <c r="B32" s="18" t="s">
        <v>140</v>
      </c>
    </row>
    <row r="33" spans="2:2" x14ac:dyDescent="0.2">
      <c r="B33" s="18" t="s">
        <v>141</v>
      </c>
    </row>
  </sheetData>
  <sortState ref="O2:P17">
    <sortCondition ref="O2:O17"/>
  </sortState>
  <phoneticPr fontId="3" type="noConversion"/>
  <conditionalFormatting sqref="K2:K17">
    <cfRule type="cellIs" dxfId="44" priority="7" stopIfTrue="1" operator="lessThan">
      <formula>4</formula>
    </cfRule>
    <cfRule type="cellIs" dxfId="43" priority="8" stopIfTrue="1" operator="between">
      <formula>4</formula>
      <formula>8</formula>
    </cfRule>
    <cfRule type="cellIs" dxfId="42" priority="9" stopIfTrue="1" operator="greaterThanOrEqual">
      <formula>9</formula>
    </cfRule>
  </conditionalFormatting>
  <conditionalFormatting sqref="C2:J17">
    <cfRule type="cellIs" dxfId="41" priority="10" stopIfTrue="1" operator="equal">
      <formula>"н"</formula>
    </cfRule>
    <cfRule type="cellIs" dxfId="40" priority="11" stopIfTrue="1" operator="equal">
      <formula>"оп"</formula>
    </cfRule>
    <cfRule type="cellIs" dxfId="39" priority="12" stopIfTrue="1" operator="equal">
      <formula>"н+"</formula>
    </cfRule>
  </conditionalFormatting>
  <pageMargins left="0.39370078740157499" right="0.196850393700787" top="1.0905511809999999" bottom="0.196850393700787" header="0.31496062992126" footer="0.511811023622047"/>
  <pageSetup paperSize="9" scale="90" orientation="portrait" cellComments="asDisplayed" r:id="rId1"/>
  <headerFooter alignWithMargins="0">
    <oddHeader>&amp;C&amp;"Arial,полужирный"&amp;11Модели и технологии
оперативного анализа данных&amp;RГруппа &amp;A</oddHeader>
    <oddFooter>&amp;R&amp;D</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pageSetUpPr fitToPage="1"/>
  </sheetPr>
  <dimension ref="A1:AC33"/>
  <sheetViews>
    <sheetView workbookViewId="0">
      <selection activeCell="X14" sqref="X14"/>
    </sheetView>
  </sheetViews>
  <sheetFormatPr defaultRowHeight="12.75" x14ac:dyDescent="0.2"/>
  <cols>
    <col min="1" max="1" width="3" style="3" customWidth="1"/>
    <col min="2" max="2" width="33.28515625" style="3" bestFit="1" customWidth="1"/>
    <col min="3" max="3" width="5.140625" style="3" bestFit="1" customWidth="1"/>
    <col min="4" max="4" width="6.7109375" style="3" customWidth="1"/>
    <col min="5" max="5" width="4.7109375" style="3" customWidth="1"/>
    <col min="6" max="6" width="6.7109375" style="3" customWidth="1"/>
    <col min="7" max="7" width="4.7109375" style="3" customWidth="1"/>
    <col min="8" max="8" width="6.7109375" style="3" customWidth="1"/>
    <col min="9" max="9" width="4.7109375" style="3" customWidth="1"/>
    <col min="10" max="10" width="6.7109375" style="3" customWidth="1"/>
    <col min="11" max="11" width="4.7109375" style="3" customWidth="1"/>
    <col min="12" max="12" width="6.7109375" style="3" customWidth="1"/>
    <col min="13" max="13" width="4.7109375" style="3" customWidth="1"/>
    <col min="14" max="14" width="6.7109375" style="3" customWidth="1"/>
    <col min="15" max="15" width="4.7109375" style="3" customWidth="1"/>
    <col min="16" max="16" width="6.7109375" style="3" customWidth="1"/>
    <col min="17" max="19" width="4.7109375" style="3" customWidth="1"/>
    <col min="20" max="20" width="7.5703125" style="3" bestFit="1" customWidth="1"/>
    <col min="21" max="21" width="6.7109375" style="3" customWidth="1"/>
    <col min="22" max="22" width="1.140625" style="3" customWidth="1"/>
    <col min="23" max="23" width="3.140625" style="3" customWidth="1"/>
    <col min="24" max="24" width="10.140625" style="3" customWidth="1"/>
    <col min="25" max="25" width="8.7109375" style="3" bestFit="1" customWidth="1"/>
    <col min="26" max="26" width="6.28515625" style="3" bestFit="1" customWidth="1"/>
    <col min="27" max="16384" width="9.140625" style="3"/>
  </cols>
  <sheetData>
    <row r="1" spans="1:29" ht="13.5" thickBot="1" x14ac:dyDescent="0.25">
      <c r="A1" s="147" t="s">
        <v>82</v>
      </c>
      <c r="B1" s="147"/>
      <c r="C1" s="147"/>
      <c r="D1" s="147"/>
      <c r="E1" s="147"/>
      <c r="F1" s="147"/>
      <c r="G1" s="147"/>
      <c r="H1" s="147"/>
      <c r="I1" s="147"/>
      <c r="J1" s="147"/>
      <c r="K1" s="147"/>
      <c r="L1" s="147"/>
      <c r="M1" s="147"/>
      <c r="N1" s="147"/>
      <c r="O1" s="147"/>
      <c r="P1" s="147"/>
      <c r="Q1" s="147"/>
      <c r="R1" s="147"/>
      <c r="S1" s="147"/>
      <c r="T1" s="147"/>
      <c r="U1" s="147"/>
      <c r="V1" s="23"/>
      <c r="X1" s="37">
        <f ca="1">TODAY()</f>
        <v>42808</v>
      </c>
    </row>
    <row r="2" spans="1:29" ht="67.5" customHeight="1" thickBot="1" x14ac:dyDescent="0.25">
      <c r="A2" s="92" t="s">
        <v>0</v>
      </c>
      <c r="B2" s="93" t="s">
        <v>1</v>
      </c>
      <c r="C2" s="94" t="s">
        <v>3</v>
      </c>
      <c r="D2" s="119">
        <v>42775</v>
      </c>
      <c r="E2" s="95" t="s">
        <v>29</v>
      </c>
      <c r="F2" s="119">
        <v>42780</v>
      </c>
      <c r="G2" s="96" t="s">
        <v>29</v>
      </c>
      <c r="H2" s="119">
        <v>42782</v>
      </c>
      <c r="I2" s="95" t="s">
        <v>29</v>
      </c>
      <c r="J2" s="119">
        <f>F2+7</f>
        <v>42787</v>
      </c>
      <c r="K2" s="96" t="s">
        <v>29</v>
      </c>
      <c r="L2" s="119">
        <f>H2+7</f>
        <v>42789</v>
      </c>
      <c r="M2" s="95" t="s">
        <v>29</v>
      </c>
      <c r="N2" s="119">
        <f>J2+6</f>
        <v>42793</v>
      </c>
      <c r="O2" s="96" t="s">
        <v>29</v>
      </c>
      <c r="P2" s="119">
        <f>L2+6</f>
        <v>42795</v>
      </c>
      <c r="Q2" s="95" t="s">
        <v>29</v>
      </c>
      <c r="R2" s="97" t="s">
        <v>119</v>
      </c>
      <c r="S2" s="97" t="s">
        <v>29</v>
      </c>
      <c r="T2" s="97" t="s">
        <v>154</v>
      </c>
      <c r="U2" s="98" t="s">
        <v>5</v>
      </c>
      <c r="V2" s="24"/>
      <c r="Y2" s="127">
        <v>42769</v>
      </c>
      <c r="Z2" s="128" t="s">
        <v>32</v>
      </c>
    </row>
    <row r="3" spans="1:29" x14ac:dyDescent="0.2">
      <c r="A3" s="99">
        <v>1</v>
      </c>
      <c r="B3" s="100" t="s">
        <v>50</v>
      </c>
      <c r="C3" s="101">
        <v>10</v>
      </c>
      <c r="D3" s="102">
        <v>1</v>
      </c>
      <c r="E3" s="103"/>
      <c r="F3" s="104">
        <v>1</v>
      </c>
      <c r="G3" s="105"/>
      <c r="H3" s="106">
        <v>1</v>
      </c>
      <c r="I3" s="103"/>
      <c r="J3" s="102">
        <v>1</v>
      </c>
      <c r="K3" s="105"/>
      <c r="L3" s="102">
        <v>1</v>
      </c>
      <c r="M3" s="103"/>
      <c r="N3" s="102">
        <v>1</v>
      </c>
      <c r="O3" s="105"/>
      <c r="P3" s="102">
        <v>1</v>
      </c>
      <c r="Q3" s="103"/>
      <c r="R3" s="107">
        <f>IF(Y3-$Y$2&gt;0,ROUND(Z3-(Y3-$Y$2)*0.15,0),Z3)</f>
        <v>8</v>
      </c>
      <c r="S3" s="108" t="str">
        <f>IF(TextIn("н","2н",D3:Q3),"-","+")</f>
        <v>+</v>
      </c>
      <c r="T3" s="108">
        <f>IF(_xludf.na(D3:Q3),"н/а",AVERAGE(D3,F3,H3,J3,L3,N3,P3))</f>
        <v>1</v>
      </c>
      <c r="U3" s="108">
        <f>IF(OR(S3&lt;&gt;"+",T3="н/а"),"не атт",ROUND(0.2*R3+0.8*T3,0))</f>
        <v>2</v>
      </c>
      <c r="Y3" s="127">
        <v>42771</v>
      </c>
      <c r="Z3" s="128">
        <v>8</v>
      </c>
    </row>
    <row r="4" spans="1:29" x14ac:dyDescent="0.2">
      <c r="A4" s="99">
        <v>2</v>
      </c>
      <c r="B4" s="109" t="s">
        <v>51</v>
      </c>
      <c r="C4" s="101">
        <v>9</v>
      </c>
      <c r="D4" s="102">
        <v>1</v>
      </c>
      <c r="E4" s="103"/>
      <c r="F4" s="104">
        <v>1</v>
      </c>
      <c r="G4" s="105"/>
      <c r="H4" s="106">
        <v>1</v>
      </c>
      <c r="I4" s="103"/>
      <c r="J4" s="102">
        <v>1</v>
      </c>
      <c r="K4" s="105"/>
      <c r="L4" s="102">
        <v>1</v>
      </c>
      <c r="M4" s="103"/>
      <c r="N4" s="102">
        <v>1</v>
      </c>
      <c r="O4" s="105"/>
      <c r="P4" s="102">
        <v>1</v>
      </c>
      <c r="Q4" s="103"/>
      <c r="R4" s="107">
        <f t="shared" ref="R4:R18" si="0">IF(Y4-$Y$2&gt;0,ROUND(Z4-(Y4-$Y$2)*0.15,0),Z4)</f>
        <v>6</v>
      </c>
      <c r="S4" s="108" t="str">
        <f>IF(TextIn("н","2н",D4:Q4),"-","+")</f>
        <v>+</v>
      </c>
      <c r="T4" s="108">
        <f t="shared" ref="T4:T18" si="1">IF(_xludf.na(D4:Q4),"н/а",AVERAGE(D4,F4,H4,J4,L4,N4,P4))</f>
        <v>1</v>
      </c>
      <c r="U4" s="108">
        <f t="shared" ref="U4:U18" si="2">IF(OR(S4&lt;&gt;"+",T4="н/а"),"не атт",ROUND(0.2*R4+0.8*T4,0))</f>
        <v>2</v>
      </c>
      <c r="Y4" s="127">
        <v>42769</v>
      </c>
      <c r="Z4" s="128">
        <v>6</v>
      </c>
    </row>
    <row r="5" spans="1:29" x14ac:dyDescent="0.2">
      <c r="A5" s="99">
        <v>3</v>
      </c>
      <c r="B5" s="125" t="s">
        <v>52</v>
      </c>
      <c r="C5" s="101">
        <v>13</v>
      </c>
      <c r="D5" s="102">
        <v>9</v>
      </c>
      <c r="E5" s="103"/>
      <c r="F5" s="104">
        <v>7</v>
      </c>
      <c r="G5" s="105"/>
      <c r="H5" s="106">
        <v>9</v>
      </c>
      <c r="I5" s="103"/>
      <c r="J5" s="102">
        <v>7</v>
      </c>
      <c r="K5" s="105"/>
      <c r="L5" s="102"/>
      <c r="M5" s="103"/>
      <c r="N5" s="102">
        <v>9</v>
      </c>
      <c r="O5" s="105"/>
      <c r="P5" s="102">
        <v>7</v>
      </c>
      <c r="Q5" s="103"/>
      <c r="R5" s="107">
        <f t="shared" si="0"/>
        <v>7</v>
      </c>
      <c r="S5" s="108" t="str">
        <f>IF(TextIn("н","2н",D5:Q5),"-","+")</f>
        <v>+</v>
      </c>
      <c r="T5" s="108" t="str">
        <f t="shared" si="1"/>
        <v>н/а</v>
      </c>
      <c r="U5" s="108" t="str">
        <f t="shared" si="2"/>
        <v>не атт</v>
      </c>
      <c r="Y5" s="127">
        <v>42774</v>
      </c>
      <c r="Z5" s="128">
        <v>8</v>
      </c>
      <c r="AB5" s="30"/>
      <c r="AC5" s="30"/>
    </row>
    <row r="6" spans="1:29" x14ac:dyDescent="0.2">
      <c r="A6" s="99">
        <v>4</v>
      </c>
      <c r="B6" s="109" t="s">
        <v>53</v>
      </c>
      <c r="C6" s="101">
        <v>12</v>
      </c>
      <c r="D6" s="102">
        <v>1</v>
      </c>
      <c r="E6" s="103" t="s">
        <v>153</v>
      </c>
      <c r="F6" s="104">
        <v>1</v>
      </c>
      <c r="G6" s="105"/>
      <c r="H6" s="106">
        <v>1</v>
      </c>
      <c r="I6" s="103"/>
      <c r="J6" s="102">
        <v>1</v>
      </c>
      <c r="K6" s="105"/>
      <c r="L6" s="102">
        <v>1</v>
      </c>
      <c r="M6" s="103"/>
      <c r="N6" s="102">
        <v>1</v>
      </c>
      <c r="O6" s="105"/>
      <c r="P6" s="102">
        <v>1</v>
      </c>
      <c r="Q6" s="103"/>
      <c r="R6" s="107">
        <f t="shared" si="0"/>
        <v>6</v>
      </c>
      <c r="S6" s="108" t="str">
        <f>IF(TextIn("н","2н",D6:Q6),"-","+")</f>
        <v>+</v>
      </c>
      <c r="T6" s="108">
        <f t="shared" si="1"/>
        <v>1</v>
      </c>
      <c r="U6" s="108">
        <f t="shared" si="2"/>
        <v>2</v>
      </c>
      <c r="Y6" s="127">
        <v>42768</v>
      </c>
      <c r="Z6" s="128">
        <v>6</v>
      </c>
    </row>
    <row r="7" spans="1:29" x14ac:dyDescent="0.2">
      <c r="A7" s="99">
        <v>5</v>
      </c>
      <c r="B7" s="109" t="s">
        <v>54</v>
      </c>
      <c r="C7" s="101">
        <v>16</v>
      </c>
      <c r="D7" s="102">
        <v>1</v>
      </c>
      <c r="E7" s="103"/>
      <c r="F7" s="104">
        <v>1</v>
      </c>
      <c r="G7" s="105"/>
      <c r="H7" s="106">
        <v>1</v>
      </c>
      <c r="I7" s="103"/>
      <c r="J7" s="102">
        <v>1</v>
      </c>
      <c r="K7" s="105"/>
      <c r="L7" s="102">
        <v>1</v>
      </c>
      <c r="M7" s="103"/>
      <c r="N7" s="102">
        <v>1</v>
      </c>
      <c r="O7" s="105"/>
      <c r="P7" s="102">
        <v>1</v>
      </c>
      <c r="Q7" s="103"/>
      <c r="R7" s="107">
        <f t="shared" si="0"/>
        <v>0</v>
      </c>
      <c r="S7" s="108" t="str">
        <f>IF(TextIn("н","2н",D7:Q7),"-","+")</f>
        <v>+</v>
      </c>
      <c r="T7" s="108">
        <f t="shared" si="1"/>
        <v>1</v>
      </c>
      <c r="U7" s="108">
        <f t="shared" si="2"/>
        <v>1</v>
      </c>
      <c r="Y7" s="127"/>
      <c r="Z7" s="128"/>
    </row>
    <row r="8" spans="1:29" x14ac:dyDescent="0.2">
      <c r="A8" s="99">
        <v>6</v>
      </c>
      <c r="B8" s="109" t="s">
        <v>55</v>
      </c>
      <c r="C8" s="101">
        <v>15</v>
      </c>
      <c r="D8" s="102">
        <v>1</v>
      </c>
      <c r="E8" s="103"/>
      <c r="F8" s="104">
        <v>1</v>
      </c>
      <c r="G8" s="105"/>
      <c r="H8" s="106"/>
      <c r="I8" s="103" t="s">
        <v>128</v>
      </c>
      <c r="J8" s="102">
        <v>1</v>
      </c>
      <c r="K8" s="105"/>
      <c r="L8" s="102">
        <v>1</v>
      </c>
      <c r="M8" s="103"/>
      <c r="N8" s="102">
        <v>1</v>
      </c>
      <c r="O8" s="105"/>
      <c r="P8" s="102">
        <v>1</v>
      </c>
      <c r="Q8" s="103"/>
      <c r="R8" s="107">
        <f t="shared" si="0"/>
        <v>0</v>
      </c>
      <c r="S8" s="108" t="str">
        <f>IF(TextIn("н","2н",D8:Q8),"-","+")</f>
        <v>+</v>
      </c>
      <c r="T8" s="108" t="str">
        <f t="shared" si="1"/>
        <v>н/а</v>
      </c>
      <c r="U8" s="108" t="str">
        <f t="shared" si="2"/>
        <v>не атт</v>
      </c>
      <c r="Y8" s="127"/>
      <c r="Z8" s="128"/>
    </row>
    <row r="9" spans="1:29" x14ac:dyDescent="0.2">
      <c r="A9" s="99">
        <v>7</v>
      </c>
      <c r="B9" s="125" t="s">
        <v>56</v>
      </c>
      <c r="C9" s="101">
        <v>14</v>
      </c>
      <c r="D9" s="102">
        <v>10</v>
      </c>
      <c r="E9" s="103"/>
      <c r="F9" s="104">
        <v>10</v>
      </c>
      <c r="G9" s="105"/>
      <c r="H9" s="106">
        <v>10</v>
      </c>
      <c r="I9" s="103"/>
      <c r="J9" s="102">
        <v>9</v>
      </c>
      <c r="K9" s="105"/>
      <c r="L9" s="102">
        <v>9</v>
      </c>
      <c r="M9" s="103"/>
      <c r="N9" s="102">
        <v>10</v>
      </c>
      <c r="O9" s="105"/>
      <c r="P9" s="102">
        <v>10</v>
      </c>
      <c r="Q9" s="103"/>
      <c r="R9" s="107">
        <f t="shared" si="0"/>
        <v>9</v>
      </c>
      <c r="S9" s="108" t="str">
        <f>IF(TextIn("н","2н",D9:Q9),"-","+")</f>
        <v>+</v>
      </c>
      <c r="T9" s="108">
        <f t="shared" si="1"/>
        <v>9.7142857142857135</v>
      </c>
      <c r="U9" s="108">
        <f t="shared" si="2"/>
        <v>10</v>
      </c>
      <c r="Y9" s="127">
        <v>42768</v>
      </c>
      <c r="Z9" s="128">
        <v>9</v>
      </c>
    </row>
    <row r="10" spans="1:29" x14ac:dyDescent="0.2">
      <c r="A10" s="99">
        <v>8</v>
      </c>
      <c r="B10" s="109" t="s">
        <v>57</v>
      </c>
      <c r="C10" s="101">
        <v>17</v>
      </c>
      <c r="D10" s="102">
        <v>1</v>
      </c>
      <c r="E10" s="103"/>
      <c r="F10" s="104">
        <v>1</v>
      </c>
      <c r="G10" s="105"/>
      <c r="H10" s="106">
        <v>1</v>
      </c>
      <c r="I10" s="103"/>
      <c r="J10" s="102">
        <v>1</v>
      </c>
      <c r="K10" s="105"/>
      <c r="L10" s="102">
        <v>1</v>
      </c>
      <c r="M10" s="103"/>
      <c r="N10" s="102">
        <v>1</v>
      </c>
      <c r="O10" s="105"/>
      <c r="P10" s="102">
        <v>1</v>
      </c>
      <c r="Q10" s="103"/>
      <c r="R10" s="107">
        <f t="shared" si="0"/>
        <v>0</v>
      </c>
      <c r="S10" s="108" t="str">
        <f>IF(TextIn("н","2н",D10:Q10),"-","+")</f>
        <v>+</v>
      </c>
      <c r="T10" s="108">
        <f t="shared" si="1"/>
        <v>1</v>
      </c>
      <c r="U10" s="108">
        <f t="shared" si="2"/>
        <v>1</v>
      </c>
      <c r="Y10" s="127"/>
      <c r="Z10" s="128"/>
    </row>
    <row r="11" spans="1:29" x14ac:dyDescent="0.2">
      <c r="A11" s="99">
        <v>9</v>
      </c>
      <c r="B11" s="110" t="s">
        <v>58</v>
      </c>
      <c r="C11" s="101">
        <v>5</v>
      </c>
      <c r="D11" s="102">
        <v>1</v>
      </c>
      <c r="E11" s="103"/>
      <c r="F11" s="104">
        <v>1</v>
      </c>
      <c r="G11" s="105"/>
      <c r="H11" s="106">
        <v>1</v>
      </c>
      <c r="I11" s="103"/>
      <c r="J11" s="102">
        <v>1</v>
      </c>
      <c r="K11" s="105"/>
      <c r="L11" s="102">
        <v>1</v>
      </c>
      <c r="M11" s="103"/>
      <c r="N11" s="102">
        <v>1</v>
      </c>
      <c r="O11" s="105"/>
      <c r="P11" s="102">
        <v>1</v>
      </c>
      <c r="Q11" s="103"/>
      <c r="R11" s="107">
        <f t="shared" si="0"/>
        <v>9</v>
      </c>
      <c r="S11" s="108" t="str">
        <f>IF(TextIn("н","2н",D11:Q11),"-","+")</f>
        <v>+</v>
      </c>
      <c r="T11" s="108">
        <f t="shared" si="1"/>
        <v>1</v>
      </c>
      <c r="U11" s="108">
        <f t="shared" si="2"/>
        <v>3</v>
      </c>
      <c r="Y11" s="127">
        <v>42768</v>
      </c>
      <c r="Z11" s="128">
        <v>9</v>
      </c>
    </row>
    <row r="12" spans="1:29" x14ac:dyDescent="0.2">
      <c r="A12" s="99">
        <v>10</v>
      </c>
      <c r="B12" s="110" t="s">
        <v>59</v>
      </c>
      <c r="C12" s="124" t="s">
        <v>144</v>
      </c>
      <c r="D12" s="102">
        <v>1</v>
      </c>
      <c r="E12" s="103"/>
      <c r="F12" s="104">
        <v>1</v>
      </c>
      <c r="G12" s="105"/>
      <c r="H12" s="106">
        <v>1</v>
      </c>
      <c r="I12" s="103"/>
      <c r="J12" s="102">
        <v>1</v>
      </c>
      <c r="K12" s="105"/>
      <c r="L12" s="102">
        <v>1</v>
      </c>
      <c r="M12" s="103"/>
      <c r="N12" s="102">
        <v>1</v>
      </c>
      <c r="O12" s="105"/>
      <c r="P12" s="102">
        <v>1</v>
      </c>
      <c r="Q12" s="103"/>
      <c r="R12" s="107">
        <f t="shared" si="0"/>
        <v>4</v>
      </c>
      <c r="S12" s="108" t="str">
        <f>IF(TextIn("н","2н",D12:Q12),"-","+")</f>
        <v>+</v>
      </c>
      <c r="T12" s="108">
        <f t="shared" si="1"/>
        <v>1</v>
      </c>
      <c r="U12" s="108">
        <f t="shared" si="2"/>
        <v>2</v>
      </c>
      <c r="Y12" s="127">
        <v>42782</v>
      </c>
      <c r="Z12" s="128">
        <v>6</v>
      </c>
    </row>
    <row r="13" spans="1:29" x14ac:dyDescent="0.2">
      <c r="A13" s="99">
        <v>11</v>
      </c>
      <c r="B13" s="110" t="s">
        <v>60</v>
      </c>
      <c r="C13" s="101">
        <v>11</v>
      </c>
      <c r="D13" s="102">
        <v>1</v>
      </c>
      <c r="E13" s="103" t="s">
        <v>145</v>
      </c>
      <c r="F13" s="104"/>
      <c r="G13" s="105" t="s">
        <v>145</v>
      </c>
      <c r="H13" s="106"/>
      <c r="I13" s="103" t="s">
        <v>128</v>
      </c>
      <c r="J13" s="102"/>
      <c r="K13" s="105"/>
      <c r="L13" s="102">
        <v>1</v>
      </c>
      <c r="M13" s="103"/>
      <c r="N13" s="102">
        <v>1</v>
      </c>
      <c r="O13" s="105"/>
      <c r="P13" s="102"/>
      <c r="Q13" s="103" t="s">
        <v>128</v>
      </c>
      <c r="R13" s="107">
        <f t="shared" si="0"/>
        <v>0</v>
      </c>
      <c r="S13" s="108" t="str">
        <f>IF(TextIn("н","2н",D13:Q13),"-","+")</f>
        <v>+</v>
      </c>
      <c r="T13" s="108" t="str">
        <f t="shared" si="1"/>
        <v>н/а</v>
      </c>
      <c r="U13" s="108" t="str">
        <f t="shared" si="2"/>
        <v>не атт</v>
      </c>
      <c r="Y13" s="127"/>
      <c r="Z13" s="128"/>
    </row>
    <row r="14" spans="1:29" x14ac:dyDescent="0.2">
      <c r="A14" s="99">
        <v>12</v>
      </c>
      <c r="B14" s="125" t="s">
        <v>61</v>
      </c>
      <c r="C14" s="124" t="s">
        <v>144</v>
      </c>
      <c r="D14" s="102">
        <v>9</v>
      </c>
      <c r="E14" s="103"/>
      <c r="F14" s="104">
        <v>10</v>
      </c>
      <c r="G14" s="105"/>
      <c r="H14" s="106">
        <v>7</v>
      </c>
      <c r="I14" s="103"/>
      <c r="J14" s="102">
        <v>8</v>
      </c>
      <c r="K14" s="105"/>
      <c r="L14" s="102">
        <v>9</v>
      </c>
      <c r="M14" s="103"/>
      <c r="N14" s="102">
        <v>9</v>
      </c>
      <c r="O14" s="105"/>
      <c r="P14" s="102">
        <v>10</v>
      </c>
      <c r="Q14" s="103"/>
      <c r="R14" s="107">
        <f t="shared" si="0"/>
        <v>10</v>
      </c>
      <c r="S14" s="108" t="str">
        <f>IF(TextIn("н","2н",D14:Q14),"-","+")</f>
        <v>+</v>
      </c>
      <c r="T14" s="108">
        <f t="shared" si="1"/>
        <v>8.8571428571428577</v>
      </c>
      <c r="U14" s="108">
        <f t="shared" si="2"/>
        <v>9</v>
      </c>
      <c r="Y14" s="127">
        <v>42766</v>
      </c>
      <c r="Z14" s="128">
        <v>10</v>
      </c>
    </row>
    <row r="15" spans="1:29" x14ac:dyDescent="0.2">
      <c r="A15" s="99">
        <v>13</v>
      </c>
      <c r="B15" s="110" t="s">
        <v>62</v>
      </c>
      <c r="C15" s="124" t="s">
        <v>144</v>
      </c>
      <c r="D15" s="102">
        <v>1</v>
      </c>
      <c r="E15" s="103"/>
      <c r="F15" s="104">
        <v>1</v>
      </c>
      <c r="G15" s="105"/>
      <c r="H15" s="106">
        <v>1</v>
      </c>
      <c r="I15" s="103"/>
      <c r="J15" s="102">
        <v>1</v>
      </c>
      <c r="K15" s="105"/>
      <c r="L15" s="102">
        <v>1</v>
      </c>
      <c r="M15" s="103"/>
      <c r="N15" s="102">
        <v>1</v>
      </c>
      <c r="O15" s="105"/>
      <c r="P15" s="102">
        <v>1</v>
      </c>
      <c r="Q15" s="103"/>
      <c r="R15" s="107">
        <f t="shared" si="0"/>
        <v>8</v>
      </c>
      <c r="S15" s="108" t="str">
        <f>IF(TextIn("н","2н",D15:Q15),"-","+")</f>
        <v>+</v>
      </c>
      <c r="T15" s="108">
        <f t="shared" si="1"/>
        <v>1</v>
      </c>
      <c r="U15" s="108">
        <f t="shared" si="2"/>
        <v>2</v>
      </c>
      <c r="Y15" s="127">
        <v>42767</v>
      </c>
      <c r="Z15" s="128">
        <v>8</v>
      </c>
    </row>
    <row r="16" spans="1:29" x14ac:dyDescent="0.2">
      <c r="A16" s="99">
        <v>14</v>
      </c>
      <c r="B16" s="111" t="s">
        <v>63</v>
      </c>
      <c r="C16" s="101">
        <v>7</v>
      </c>
      <c r="D16" s="102">
        <v>1</v>
      </c>
      <c r="E16" s="103"/>
      <c r="F16" s="104">
        <v>1</v>
      </c>
      <c r="G16" s="105"/>
      <c r="H16" s="106">
        <v>1</v>
      </c>
      <c r="I16" s="103"/>
      <c r="J16" s="102">
        <v>1</v>
      </c>
      <c r="K16" s="105"/>
      <c r="L16" s="102">
        <v>1</v>
      </c>
      <c r="M16" s="103"/>
      <c r="N16" s="102">
        <v>1</v>
      </c>
      <c r="O16" s="105"/>
      <c r="P16" s="102">
        <v>1</v>
      </c>
      <c r="Q16" s="103"/>
      <c r="R16" s="107">
        <f t="shared" si="0"/>
        <v>3</v>
      </c>
      <c r="S16" s="108" t="str">
        <f>IF(TextIn("н","2н",D16:Q16),"-","+")</f>
        <v>+</v>
      </c>
      <c r="T16" s="108">
        <f t="shared" si="1"/>
        <v>1</v>
      </c>
      <c r="U16" s="108">
        <f t="shared" si="2"/>
        <v>1</v>
      </c>
      <c r="Y16" s="127">
        <v>42787</v>
      </c>
      <c r="Z16" s="128">
        <v>6</v>
      </c>
    </row>
    <row r="17" spans="1:26" x14ac:dyDescent="0.2">
      <c r="A17" s="99">
        <v>15</v>
      </c>
      <c r="B17" s="111" t="s">
        <v>64</v>
      </c>
      <c r="C17" s="101">
        <v>4</v>
      </c>
      <c r="D17" s="102">
        <v>6</v>
      </c>
      <c r="E17" s="103"/>
      <c r="F17" s="104">
        <v>5</v>
      </c>
      <c r="G17" s="105"/>
      <c r="H17" s="106">
        <v>4</v>
      </c>
      <c r="I17" s="103"/>
      <c r="J17" s="102">
        <v>4</v>
      </c>
      <c r="K17" s="105"/>
      <c r="L17" s="102">
        <v>1</v>
      </c>
      <c r="M17" s="103"/>
      <c r="N17" s="102">
        <v>1</v>
      </c>
      <c r="O17" s="105"/>
      <c r="P17" s="102">
        <v>1</v>
      </c>
      <c r="Q17" s="103"/>
      <c r="R17" s="107">
        <f t="shared" si="0"/>
        <v>6</v>
      </c>
      <c r="S17" s="108" t="str">
        <f>IF(TextIn("н","2н",D17:Q17),"-","+")</f>
        <v>+</v>
      </c>
      <c r="T17" s="108">
        <f t="shared" si="1"/>
        <v>3.1428571428571428</v>
      </c>
      <c r="U17" s="108">
        <f t="shared" si="2"/>
        <v>4</v>
      </c>
      <c r="Y17" s="127">
        <v>42769</v>
      </c>
      <c r="Z17" s="128">
        <v>6</v>
      </c>
    </row>
    <row r="18" spans="1:26" ht="12" customHeight="1" x14ac:dyDescent="0.2">
      <c r="A18" s="99">
        <v>16</v>
      </c>
      <c r="B18" s="111" t="s">
        <v>65</v>
      </c>
      <c r="C18" s="101">
        <v>8</v>
      </c>
      <c r="D18" s="102">
        <v>1</v>
      </c>
      <c r="E18" s="103"/>
      <c r="F18" s="104">
        <v>1</v>
      </c>
      <c r="G18" s="105"/>
      <c r="H18" s="106">
        <v>1</v>
      </c>
      <c r="I18" s="103"/>
      <c r="J18" s="102">
        <v>1</v>
      </c>
      <c r="K18" s="105"/>
      <c r="L18" s="102">
        <v>1</v>
      </c>
      <c r="M18" s="103"/>
      <c r="N18" s="102">
        <v>1</v>
      </c>
      <c r="O18" s="105"/>
      <c r="P18" s="102">
        <v>1</v>
      </c>
      <c r="Q18" s="103"/>
      <c r="R18" s="108">
        <f t="shared" si="0"/>
        <v>0</v>
      </c>
      <c r="S18" s="108" t="str">
        <f>IF(TextIn("н","2н",D18:Q18),"-","+")</f>
        <v>+</v>
      </c>
      <c r="T18" s="108">
        <f t="shared" si="1"/>
        <v>1</v>
      </c>
      <c r="U18" s="108">
        <f t="shared" si="2"/>
        <v>1</v>
      </c>
      <c r="Y18" s="128"/>
      <c r="Z18" s="128"/>
    </row>
    <row r="19" spans="1:26" ht="12.75" customHeight="1" x14ac:dyDescent="0.2">
      <c r="A19" s="143" t="s">
        <v>44</v>
      </c>
      <c r="B19" s="144"/>
      <c r="C19" s="112" t="s">
        <v>118</v>
      </c>
      <c r="D19" s="113" t="s">
        <v>123</v>
      </c>
      <c r="E19" s="113"/>
      <c r="F19" s="113" t="s">
        <v>124</v>
      </c>
      <c r="G19" s="113"/>
      <c r="H19" s="113" t="s">
        <v>125</v>
      </c>
      <c r="I19" s="113"/>
      <c r="J19" s="113" t="s">
        <v>126</v>
      </c>
      <c r="K19" s="113"/>
      <c r="L19" s="120" t="s">
        <v>46</v>
      </c>
      <c r="M19" s="113"/>
      <c r="N19" s="120" t="s">
        <v>47</v>
      </c>
      <c r="O19" s="113"/>
      <c r="P19" s="113" t="s">
        <v>48</v>
      </c>
      <c r="Q19" s="113"/>
      <c r="R19" s="114"/>
      <c r="S19" s="114"/>
      <c r="T19" s="114"/>
      <c r="U19" s="115"/>
    </row>
    <row r="20" spans="1:26" ht="132" customHeight="1" x14ac:dyDescent="0.2">
      <c r="A20" s="145"/>
      <c r="B20" s="146"/>
      <c r="C20" s="116"/>
      <c r="D20" s="117" t="s">
        <v>120</v>
      </c>
      <c r="E20" s="117"/>
      <c r="F20" s="117" t="s">
        <v>96</v>
      </c>
      <c r="G20" s="117"/>
      <c r="H20" s="117" t="s">
        <v>122</v>
      </c>
      <c r="I20" s="117"/>
      <c r="J20" s="117" t="s">
        <v>98</v>
      </c>
      <c r="K20" s="117"/>
      <c r="L20" s="117" t="s">
        <v>99</v>
      </c>
      <c r="M20" s="117"/>
      <c r="N20" s="117" t="s">
        <v>100</v>
      </c>
      <c r="O20" s="117"/>
      <c r="P20" s="117" t="s">
        <v>121</v>
      </c>
      <c r="Q20" s="118"/>
      <c r="R20" s="114"/>
      <c r="S20" s="114"/>
      <c r="T20" s="114"/>
      <c r="U20" s="115"/>
    </row>
    <row r="21" spans="1:26" x14ac:dyDescent="0.2">
      <c r="A21" s="4"/>
      <c r="B21" s="52" t="s">
        <v>4</v>
      </c>
      <c r="C21" s="5">
        <f>SUM(D21:Q21)</f>
        <v>28</v>
      </c>
      <c r="D21" s="3">
        <v>4</v>
      </c>
      <c r="F21" s="3">
        <v>4</v>
      </c>
      <c r="H21" s="3">
        <v>4</v>
      </c>
      <c r="J21" s="3">
        <v>4</v>
      </c>
      <c r="L21" s="3">
        <v>4</v>
      </c>
      <c r="N21" s="3">
        <v>4</v>
      </c>
      <c r="P21" s="3">
        <v>4</v>
      </c>
    </row>
    <row r="33" spans="12:12" ht="15" x14ac:dyDescent="0.2">
      <c r="L33" s="25"/>
    </row>
  </sheetData>
  <mergeCells count="2">
    <mergeCell ref="A19:B20"/>
    <mergeCell ref="A1:U1"/>
  </mergeCells>
  <phoneticPr fontId="3" type="noConversion"/>
  <conditionalFormatting sqref="G4:G18 I4:I18 K4:K18 M4:M18 O4:O18 Q4:Q18 U3:U18">
    <cfRule type="cellIs" dxfId="38" priority="63" stopIfTrue="1" operator="equal">
      <formula>"н"</formula>
    </cfRule>
    <cfRule type="cellIs" dxfId="37" priority="64" stopIfTrue="1" operator="equal">
      <formula>"оп"</formula>
    </cfRule>
    <cfRule type="cellIs" dxfId="36" priority="65" stopIfTrue="1" operator="equal">
      <formula>"н+"</formula>
    </cfRule>
  </conditionalFormatting>
  <conditionalFormatting sqref="R3:R18 U3:U18">
    <cfRule type="cellIs" dxfId="35" priority="66" stopIfTrue="1" operator="lessThan">
      <formula>4</formula>
    </cfRule>
    <cfRule type="cellIs" dxfId="34" priority="67" stopIfTrue="1" operator="between">
      <formula>4</formula>
      <formula>6</formula>
    </cfRule>
    <cfRule type="cellIs" dxfId="33" priority="68" stopIfTrue="1" operator="greaterThanOrEqual">
      <formula>9</formula>
    </cfRule>
  </conditionalFormatting>
  <conditionalFormatting sqref="K4:K18 M4:M18 O4:O18 Q4:Q18 L3:L18 N3:N18 P3:P18 D3:J18">
    <cfRule type="cellIs" dxfId="32" priority="35" stopIfTrue="1" operator="equal">
      <formula>"2н"</formula>
    </cfRule>
    <cfRule type="cellIs" dxfId="31" priority="124" stopIfTrue="1" operator="equal">
      <formula>"н"</formula>
    </cfRule>
    <cfRule type="cellIs" dxfId="30" priority="125" stopIfTrue="1" operator="equal">
      <formula>"2н+"</formula>
    </cfRule>
    <cfRule type="cellIs" dxfId="29" priority="126" stopIfTrue="1" operator="equal">
      <formula>"н+"</formula>
    </cfRule>
  </conditionalFormatting>
  <conditionalFormatting sqref="G3 I3 K3 M3 O3 Q3">
    <cfRule type="cellIs" dxfId="28" priority="26" stopIfTrue="1" operator="equal">
      <formula>"н"</formula>
    </cfRule>
    <cfRule type="cellIs" dxfId="27" priority="27" stopIfTrue="1" operator="equal">
      <formula>"оп"</formula>
    </cfRule>
    <cfRule type="cellIs" dxfId="26" priority="28" stopIfTrue="1" operator="equal">
      <formula>"н+"</formula>
    </cfRule>
  </conditionalFormatting>
  <conditionalFormatting sqref="K3 M3 O3 Q3">
    <cfRule type="cellIs" dxfId="25" priority="25" stopIfTrue="1" operator="equal">
      <formula>"2н"</formula>
    </cfRule>
    <cfRule type="cellIs" dxfId="24" priority="32" stopIfTrue="1" operator="equal">
      <formula>"н"</formula>
    </cfRule>
    <cfRule type="cellIs" dxfId="23" priority="33" stopIfTrue="1" operator="equal">
      <formula>"2н+"</formula>
    </cfRule>
    <cfRule type="cellIs" dxfId="22" priority="34" stopIfTrue="1" operator="equal">
      <formula>"н+"</formula>
    </cfRule>
  </conditionalFormatting>
  <printOptions horizontalCentered="1"/>
  <pageMargins left="0.39370078740157483" right="0.39370078740157483" top="0.39370078740157483" bottom="0.39370078740157483" header="0.23622047244094491" footer="0.23622047244094491"/>
  <pageSetup paperSize="9" scale="70" orientation="landscape" verticalDpi="144" r:id="rId1"/>
  <headerFooter alignWithMargins="0">
    <oddHeader>&amp;RИнформатика</oddHeader>
    <oddFooter>&amp;LГедранович В.В.&amp;R&amp;D</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Q31"/>
  <sheetViews>
    <sheetView showZeros="0" tabSelected="1" workbookViewId="0">
      <pane xSplit="3" ySplit="1" topLeftCell="D2" activePane="bottomRight" state="frozen"/>
      <selection pane="topRight" activeCell="C1" sqref="C1"/>
      <selection pane="bottomLeft" activeCell="A2" sqref="A2"/>
      <selection pane="bottomRight" activeCell="C8" sqref="C8"/>
    </sheetView>
  </sheetViews>
  <sheetFormatPr defaultRowHeight="12.75" x14ac:dyDescent="0.2"/>
  <cols>
    <col min="1" max="1" width="3" style="18" bestFit="1" customWidth="1"/>
    <col min="2" max="2" width="3" style="18" customWidth="1"/>
    <col min="3" max="3" width="34.28515625" style="18" bestFit="1" customWidth="1"/>
    <col min="4" max="4" width="9.5703125" style="18" bestFit="1" customWidth="1"/>
    <col min="5" max="5" width="8" style="18" bestFit="1" customWidth="1"/>
    <col min="6" max="6" width="6.7109375" style="18" bestFit="1" customWidth="1"/>
    <col min="7" max="7" width="7.28515625" style="18" bestFit="1" customWidth="1"/>
    <col min="8" max="8" width="5.7109375" style="18" customWidth="1"/>
    <col min="9" max="9" width="4.7109375" style="18" customWidth="1"/>
    <col min="10" max="10" width="5.7109375" style="18" customWidth="1"/>
    <col min="11" max="11" width="4.7109375" style="18" customWidth="1"/>
    <col min="12" max="13" width="7.42578125" style="18" customWidth="1"/>
    <col min="14" max="14" width="7.28515625" style="18" hidden="1" customWidth="1"/>
    <col min="15" max="15" width="2.28515625" style="18" customWidth="1"/>
    <col min="16" max="16" width="1.7109375" style="18" customWidth="1"/>
    <col min="17" max="17" width="2.85546875" style="18" customWidth="1"/>
    <col min="18" max="16384" width="9.140625" style="18"/>
  </cols>
  <sheetData>
    <row r="1" spans="1:17" ht="96" customHeight="1" thickBot="1" x14ac:dyDescent="0.25">
      <c r="A1" s="1" t="s">
        <v>0</v>
      </c>
      <c r="B1" s="69" t="s">
        <v>49</v>
      </c>
      <c r="C1" s="1" t="s">
        <v>1</v>
      </c>
      <c r="D1" s="31" t="s">
        <v>19</v>
      </c>
      <c r="E1" s="2" t="s">
        <v>127</v>
      </c>
      <c r="F1" s="2" t="s">
        <v>26</v>
      </c>
      <c r="G1" s="54" t="s">
        <v>21</v>
      </c>
      <c r="H1" s="56" t="s">
        <v>22</v>
      </c>
      <c r="I1" s="57" t="s">
        <v>23</v>
      </c>
      <c r="J1" s="57" t="s">
        <v>24</v>
      </c>
      <c r="K1" s="57" t="s">
        <v>25</v>
      </c>
      <c r="L1" s="58" t="s">
        <v>45</v>
      </c>
      <c r="M1" s="59" t="s">
        <v>20</v>
      </c>
      <c r="N1" s="60" t="s">
        <v>28</v>
      </c>
    </row>
    <row r="2" spans="1:17" x14ac:dyDescent="0.2">
      <c r="A2" s="14">
        <v>1</v>
      </c>
      <c r="B2" s="67">
        <v>1</v>
      </c>
      <c r="C2" s="100" t="s">
        <v>50</v>
      </c>
      <c r="D2" s="65"/>
      <c r="E2" s="7">
        <f>VLOOKUP(C2,'131701с_лк'!$B$2:$K$17,10,FALSE)</f>
        <v>4</v>
      </c>
      <c r="F2" s="7">
        <f>VLOOKUP(C2,'131701с_лб'!$B$3:$U$18,20,FALSE)</f>
        <v>2</v>
      </c>
      <c r="G2" s="55">
        <f>IF(OR(E2="н/я",F2="не атт"),"не доп",ROUND(0.2*E2+0.8*F2,0))</f>
        <v>2</v>
      </c>
      <c r="H2" s="61"/>
      <c r="I2" s="6" t="str">
        <f t="shared" ref="I2" si="0">ОценкаПроцент(H2)</f>
        <v>н/я</v>
      </c>
      <c r="J2" s="32"/>
      <c r="K2" s="6">
        <f>ОценкаПроцПракт(J2)</f>
        <v>0</v>
      </c>
      <c r="L2" s="7">
        <f>IF(G2="не доп",G2,IF(I2="не явил",I2,IF(I2&lt;4,I2,IF(AND(G2&gt;5,I2&gt;6,J2&gt;0.19,K2&lt;4),4,IF(K2&lt;4,3,ROUND(0.4*I2+0.6*K2,0))))))</f>
        <v>3</v>
      </c>
      <c r="M2" s="7">
        <f>IF(G2="не доп",G2,IF(I2="не явил",I2,IF(L2&gt;3,ROUND(0.4*G2+0.6*L2,0),L2)))</f>
        <v>3</v>
      </c>
      <c r="N2" s="62" t="str">
        <f t="shared" ref="N2" si="1">ОценкаЗачет(M2)</f>
        <v>не зачтено</v>
      </c>
      <c r="O2" s="16"/>
    </row>
    <row r="3" spans="1:17" x14ac:dyDescent="0.2">
      <c r="A3" s="14">
        <v>2</v>
      </c>
      <c r="B3" s="68">
        <v>1</v>
      </c>
      <c r="C3" s="109" t="s">
        <v>51</v>
      </c>
      <c r="D3" s="66"/>
      <c r="E3" s="7">
        <f>VLOOKUP(C3,'131701с_лк'!$B$2:$K$17,10,FALSE)</f>
        <v>3</v>
      </c>
      <c r="F3" s="7">
        <f>VLOOKUP(C3,'131701с_лб'!$B$3:$U$18,20,FALSE)</f>
        <v>2</v>
      </c>
      <c r="G3" s="55">
        <f t="shared" ref="G3:G17" si="2">IF(OR(E3="н/я",F3="не атт"),"не доп",ROUND(0.2*E3+0.8*F3,0))</f>
        <v>2</v>
      </c>
      <c r="H3" s="61"/>
      <c r="I3" s="6" t="str">
        <f t="shared" ref="I3:I17" si="3">ОценкаПроцент(H3)</f>
        <v>н/я</v>
      </c>
      <c r="J3" s="32"/>
      <c r="K3" s="6">
        <f t="shared" ref="K3:K17" si="4">ОценкаПроцПракт(J3)</f>
        <v>0</v>
      </c>
      <c r="L3" s="7">
        <f t="shared" ref="L3:L14" si="5">IF(G3="не доп",G3,IF(I3="не явил",I3,IF(I3&lt;4,I3,IF(AND(G3&gt;5,I3&gt;6,J3&gt;0.19,K3&lt;4),4,IF(K3&lt;4,3,ROUND(0.4*I3+0.6*K3,0))))))</f>
        <v>3</v>
      </c>
      <c r="M3" s="7">
        <f t="shared" ref="M3:M14" si="6">IF(G3="не доп",G3,IF(I3="не явил",I3,IF(L3&gt;3,ROUND(0.4*G3+0.6*L3,0),L3)))</f>
        <v>3</v>
      </c>
      <c r="N3" s="62" t="str">
        <f t="shared" ref="N3:N14" si="7">ОценкаЗачет(M3)</f>
        <v>не зачтено</v>
      </c>
      <c r="O3" s="16"/>
      <c r="Q3" s="70"/>
    </row>
    <row r="4" spans="1:17" x14ac:dyDescent="0.2">
      <c r="A4" s="14">
        <v>3</v>
      </c>
      <c r="B4" s="67">
        <v>1</v>
      </c>
      <c r="C4" s="109" t="s">
        <v>52</v>
      </c>
      <c r="D4" s="66"/>
      <c r="E4" s="7">
        <f>VLOOKUP(C4,'131701с_лк'!$B$2:$K$17,10,FALSE)</f>
        <v>9</v>
      </c>
      <c r="F4" s="7" t="str">
        <f>VLOOKUP(C4,'131701с_лб'!$B$3:$U$18,20,FALSE)</f>
        <v>не атт</v>
      </c>
      <c r="G4" s="55" t="str">
        <f t="shared" si="2"/>
        <v>не доп</v>
      </c>
      <c r="H4" s="61"/>
      <c r="I4" s="6" t="str">
        <f t="shared" si="3"/>
        <v>н/я</v>
      </c>
      <c r="J4" s="32"/>
      <c r="K4" s="6">
        <f t="shared" si="4"/>
        <v>0</v>
      </c>
      <c r="L4" s="7" t="str">
        <f t="shared" si="5"/>
        <v>не доп</v>
      </c>
      <c r="M4" s="7" t="str">
        <f t="shared" si="6"/>
        <v>не доп</v>
      </c>
      <c r="N4" s="62" t="str">
        <f t="shared" si="7"/>
        <v>не доп</v>
      </c>
      <c r="O4" s="16"/>
    </row>
    <row r="5" spans="1:17" x14ac:dyDescent="0.2">
      <c r="A5" s="14">
        <v>4</v>
      </c>
      <c r="B5" s="68">
        <v>1</v>
      </c>
      <c r="C5" s="109" t="s">
        <v>53</v>
      </c>
      <c r="D5" s="66"/>
      <c r="E5" s="7">
        <f>VLOOKUP(C5,'131701с_лк'!$B$2:$K$17,10,FALSE)</f>
        <v>3</v>
      </c>
      <c r="F5" s="7">
        <f>VLOOKUP(C5,'131701с_лб'!$B$3:$U$18,20,FALSE)</f>
        <v>2</v>
      </c>
      <c r="G5" s="55">
        <f t="shared" si="2"/>
        <v>2</v>
      </c>
      <c r="H5" s="61"/>
      <c r="I5" s="6" t="str">
        <f t="shared" si="3"/>
        <v>н/я</v>
      </c>
      <c r="J5" s="32"/>
      <c r="K5" s="6">
        <f t="shared" si="4"/>
        <v>0</v>
      </c>
      <c r="L5" s="7">
        <f t="shared" si="5"/>
        <v>3</v>
      </c>
      <c r="M5" s="7">
        <f t="shared" si="6"/>
        <v>3</v>
      </c>
      <c r="N5" s="62" t="str">
        <f t="shared" si="7"/>
        <v>не зачтено</v>
      </c>
      <c r="O5" s="16"/>
    </row>
    <row r="6" spans="1:17" x14ac:dyDescent="0.2">
      <c r="A6" s="14">
        <v>5</v>
      </c>
      <c r="B6" s="67">
        <v>1</v>
      </c>
      <c r="C6" s="109" t="s">
        <v>54</v>
      </c>
      <c r="D6" s="66"/>
      <c r="E6" s="7">
        <f>VLOOKUP(C6,'131701с_лк'!$B$2:$K$17,10,FALSE)</f>
        <v>3</v>
      </c>
      <c r="F6" s="7">
        <f>VLOOKUP(C6,'131701с_лб'!$B$3:$U$18,20,FALSE)</f>
        <v>1</v>
      </c>
      <c r="G6" s="55">
        <f t="shared" si="2"/>
        <v>1</v>
      </c>
      <c r="H6" s="61"/>
      <c r="I6" s="6" t="str">
        <f t="shared" si="3"/>
        <v>н/я</v>
      </c>
      <c r="J6" s="32"/>
      <c r="K6" s="6">
        <f t="shared" si="4"/>
        <v>0</v>
      </c>
      <c r="L6" s="7">
        <f t="shared" si="5"/>
        <v>3</v>
      </c>
      <c r="M6" s="7">
        <f t="shared" si="6"/>
        <v>3</v>
      </c>
      <c r="N6" s="62" t="str">
        <f t="shared" si="7"/>
        <v>не зачтено</v>
      </c>
      <c r="O6" s="16"/>
    </row>
    <row r="7" spans="1:17" x14ac:dyDescent="0.2">
      <c r="A7" s="14">
        <v>6</v>
      </c>
      <c r="B7" s="68">
        <v>1</v>
      </c>
      <c r="C7" s="109" t="s">
        <v>55</v>
      </c>
      <c r="D7" s="66"/>
      <c r="E7" s="7">
        <f>VLOOKUP(C7,'131701с_лк'!$B$2:$K$17,10,FALSE)</f>
        <v>4</v>
      </c>
      <c r="F7" s="7" t="str">
        <f>VLOOKUP(C7,'131701с_лб'!$B$3:$U$18,20,FALSE)</f>
        <v>не атт</v>
      </c>
      <c r="G7" s="55" t="str">
        <f t="shared" si="2"/>
        <v>не доп</v>
      </c>
      <c r="H7" s="61"/>
      <c r="I7" s="6" t="str">
        <f t="shared" si="3"/>
        <v>н/я</v>
      </c>
      <c r="J7" s="32"/>
      <c r="K7" s="6">
        <f t="shared" si="4"/>
        <v>0</v>
      </c>
      <c r="L7" s="7" t="str">
        <f t="shared" si="5"/>
        <v>не доп</v>
      </c>
      <c r="M7" s="7" t="str">
        <f t="shared" si="6"/>
        <v>не доп</v>
      </c>
      <c r="N7" s="62" t="str">
        <f t="shared" si="7"/>
        <v>не доп</v>
      </c>
      <c r="O7" s="16"/>
    </row>
    <row r="8" spans="1:17" x14ac:dyDescent="0.2">
      <c r="A8" s="14">
        <v>7</v>
      </c>
      <c r="B8" s="67">
        <v>1</v>
      </c>
      <c r="C8" s="109" t="s">
        <v>56</v>
      </c>
      <c r="D8" s="66"/>
      <c r="E8" s="7">
        <f>VLOOKUP(C8,'131701с_лк'!$B$2:$K$17,10,FALSE)</f>
        <v>9</v>
      </c>
      <c r="F8" s="7">
        <f>VLOOKUP(C8,'131701с_лб'!$B$3:$U$18,20,FALSE)</f>
        <v>10</v>
      </c>
      <c r="G8" s="55">
        <f t="shared" si="2"/>
        <v>10</v>
      </c>
      <c r="H8" s="61"/>
      <c r="I8" s="6" t="str">
        <f t="shared" si="3"/>
        <v>н/я</v>
      </c>
      <c r="J8" s="32"/>
      <c r="K8" s="6">
        <f t="shared" si="4"/>
        <v>0</v>
      </c>
      <c r="L8" s="7">
        <f t="shared" si="5"/>
        <v>3</v>
      </c>
      <c r="M8" s="7">
        <f t="shared" si="6"/>
        <v>3</v>
      </c>
      <c r="N8" s="62" t="str">
        <f t="shared" si="7"/>
        <v>не зачтено</v>
      </c>
      <c r="O8" s="16"/>
    </row>
    <row r="9" spans="1:17" x14ac:dyDescent="0.2">
      <c r="A9" s="14">
        <v>8</v>
      </c>
      <c r="B9" s="68">
        <v>1</v>
      </c>
      <c r="C9" s="109" t="s">
        <v>57</v>
      </c>
      <c r="D9" s="66"/>
      <c r="E9" s="7">
        <f>VLOOKUP(C9,'131701с_лк'!$B$2:$K$17,10,FALSE)</f>
        <v>3</v>
      </c>
      <c r="F9" s="7">
        <f>VLOOKUP(C9,'131701с_лб'!$B$3:$U$18,20,FALSE)</f>
        <v>1</v>
      </c>
      <c r="G9" s="55">
        <f t="shared" si="2"/>
        <v>1</v>
      </c>
      <c r="H9" s="61"/>
      <c r="I9" s="6" t="str">
        <f t="shared" si="3"/>
        <v>н/я</v>
      </c>
      <c r="J9" s="32"/>
      <c r="K9" s="6">
        <f t="shared" si="4"/>
        <v>0</v>
      </c>
      <c r="L9" s="7">
        <f t="shared" si="5"/>
        <v>3</v>
      </c>
      <c r="M9" s="7">
        <f t="shared" si="6"/>
        <v>3</v>
      </c>
      <c r="N9" s="62" t="str">
        <f t="shared" si="7"/>
        <v>не зачтено</v>
      </c>
      <c r="O9" s="16"/>
    </row>
    <row r="10" spans="1:17" x14ac:dyDescent="0.2">
      <c r="A10" s="14">
        <v>9</v>
      </c>
      <c r="B10" s="67">
        <v>1</v>
      </c>
      <c r="C10" s="110" t="s">
        <v>58</v>
      </c>
      <c r="D10" s="66"/>
      <c r="E10" s="7">
        <f>VLOOKUP(C10,'131701с_лк'!$B$2:$K$17,10,FALSE)</f>
        <v>3</v>
      </c>
      <c r="F10" s="7">
        <f>VLOOKUP(C10,'131701с_лб'!$B$3:$U$18,20,FALSE)</f>
        <v>3</v>
      </c>
      <c r="G10" s="55">
        <f t="shared" si="2"/>
        <v>3</v>
      </c>
      <c r="H10" s="61"/>
      <c r="I10" s="6" t="str">
        <f t="shared" si="3"/>
        <v>н/я</v>
      </c>
      <c r="J10" s="32"/>
      <c r="K10" s="6">
        <f t="shared" si="4"/>
        <v>0</v>
      </c>
      <c r="L10" s="7">
        <f t="shared" si="5"/>
        <v>3</v>
      </c>
      <c r="M10" s="7">
        <f t="shared" si="6"/>
        <v>3</v>
      </c>
      <c r="N10" s="62" t="str">
        <f t="shared" si="7"/>
        <v>не зачтено</v>
      </c>
      <c r="O10" s="16"/>
    </row>
    <row r="11" spans="1:17" x14ac:dyDescent="0.2">
      <c r="A11" s="14">
        <v>10</v>
      </c>
      <c r="B11" s="68">
        <v>1</v>
      </c>
      <c r="C11" s="110" t="s">
        <v>59</v>
      </c>
      <c r="D11" s="66"/>
      <c r="E11" s="7">
        <f>VLOOKUP(C11,'131701с_лк'!$B$2:$K$17,10,FALSE)</f>
        <v>5</v>
      </c>
      <c r="F11" s="7">
        <f>VLOOKUP(C11,'131701с_лб'!$B$3:$U$18,20,FALSE)</f>
        <v>2</v>
      </c>
      <c r="G11" s="55">
        <f t="shared" si="2"/>
        <v>3</v>
      </c>
      <c r="H11" s="61"/>
      <c r="I11" s="6" t="str">
        <f t="shared" si="3"/>
        <v>н/я</v>
      </c>
      <c r="J11" s="32"/>
      <c r="K11" s="6">
        <f t="shared" si="4"/>
        <v>0</v>
      </c>
      <c r="L11" s="7">
        <f t="shared" si="5"/>
        <v>3</v>
      </c>
      <c r="M11" s="7">
        <f t="shared" si="6"/>
        <v>3</v>
      </c>
      <c r="N11" s="62" t="str">
        <f t="shared" si="7"/>
        <v>не зачтено</v>
      </c>
      <c r="O11" s="16"/>
    </row>
    <row r="12" spans="1:17" x14ac:dyDescent="0.2">
      <c r="A12" s="14">
        <v>11</v>
      </c>
      <c r="B12" s="67">
        <v>1</v>
      </c>
      <c r="C12" s="110" t="s">
        <v>60</v>
      </c>
      <c r="D12" s="66"/>
      <c r="E12" s="7">
        <f>VLOOKUP(C12,'131701с_лк'!$B$2:$K$17,10,FALSE)</f>
        <v>0</v>
      </c>
      <c r="F12" s="7" t="str">
        <f>VLOOKUP(C12,'131701с_лб'!$B$3:$U$18,20,FALSE)</f>
        <v>не атт</v>
      </c>
      <c r="G12" s="55" t="str">
        <f t="shared" si="2"/>
        <v>не доп</v>
      </c>
      <c r="H12" s="61"/>
      <c r="I12" s="6" t="str">
        <f t="shared" si="3"/>
        <v>н/я</v>
      </c>
      <c r="J12" s="32"/>
      <c r="K12" s="6">
        <f t="shared" si="4"/>
        <v>0</v>
      </c>
      <c r="L12" s="7" t="str">
        <f t="shared" si="5"/>
        <v>не доп</v>
      </c>
      <c r="M12" s="7" t="str">
        <f t="shared" si="6"/>
        <v>не доп</v>
      </c>
      <c r="N12" s="62" t="str">
        <f t="shared" si="7"/>
        <v>не доп</v>
      </c>
      <c r="O12" s="16"/>
    </row>
    <row r="13" spans="1:17" x14ac:dyDescent="0.2">
      <c r="A13" s="14">
        <v>12</v>
      </c>
      <c r="B13" s="68">
        <v>1</v>
      </c>
      <c r="C13" s="110" t="s">
        <v>61</v>
      </c>
      <c r="D13" s="66"/>
      <c r="E13" s="7">
        <f>VLOOKUP(C13,'131701с_лк'!$B$2:$K$17,10,FALSE)</f>
        <v>8</v>
      </c>
      <c r="F13" s="7">
        <f>VLOOKUP(C13,'131701с_лб'!$B$3:$U$18,20,FALSE)</f>
        <v>9</v>
      </c>
      <c r="G13" s="55">
        <f t="shared" si="2"/>
        <v>9</v>
      </c>
      <c r="H13" s="61"/>
      <c r="I13" s="6" t="str">
        <f t="shared" si="3"/>
        <v>н/я</v>
      </c>
      <c r="J13" s="32"/>
      <c r="K13" s="6">
        <f t="shared" si="4"/>
        <v>0</v>
      </c>
      <c r="L13" s="7">
        <f t="shared" si="5"/>
        <v>3</v>
      </c>
      <c r="M13" s="7">
        <f t="shared" si="6"/>
        <v>3</v>
      </c>
      <c r="N13" s="62" t="str">
        <f t="shared" si="7"/>
        <v>не зачтено</v>
      </c>
      <c r="O13" s="16"/>
    </row>
    <row r="14" spans="1:17" x14ac:dyDescent="0.2">
      <c r="A14" s="14">
        <v>13</v>
      </c>
      <c r="B14" s="67">
        <v>1</v>
      </c>
      <c r="C14" s="110" t="s">
        <v>62</v>
      </c>
      <c r="D14" s="66"/>
      <c r="E14" s="7">
        <f>VLOOKUP(C14,'131701с_лк'!$B$2:$K$17,10,FALSE)</f>
        <v>3</v>
      </c>
      <c r="F14" s="7">
        <f>VLOOKUP(C14,'131701с_лб'!$B$3:$U$18,20,FALSE)</f>
        <v>2</v>
      </c>
      <c r="G14" s="55">
        <f t="shared" si="2"/>
        <v>2</v>
      </c>
      <c r="H14" s="61"/>
      <c r="I14" s="6" t="str">
        <f t="shared" si="3"/>
        <v>н/я</v>
      </c>
      <c r="J14" s="32"/>
      <c r="K14" s="6">
        <f t="shared" si="4"/>
        <v>0</v>
      </c>
      <c r="L14" s="7">
        <f t="shared" si="5"/>
        <v>3</v>
      </c>
      <c r="M14" s="7">
        <f t="shared" si="6"/>
        <v>3</v>
      </c>
      <c r="N14" s="62" t="str">
        <f t="shared" si="7"/>
        <v>не зачтено</v>
      </c>
      <c r="O14" s="16"/>
    </row>
    <row r="15" spans="1:17" x14ac:dyDescent="0.2">
      <c r="A15" s="14">
        <v>14</v>
      </c>
      <c r="B15" s="68">
        <v>1</v>
      </c>
      <c r="C15" s="111" t="s">
        <v>63</v>
      </c>
      <c r="D15" s="66"/>
      <c r="E15" s="7">
        <f>VLOOKUP(C15,'131701с_лк'!$B$2:$K$17,10,FALSE)</f>
        <v>3</v>
      </c>
      <c r="F15" s="7">
        <f>VLOOKUP(C15,'131701с_лб'!$B$3:$U$18,20,FALSE)</f>
        <v>1</v>
      </c>
      <c r="G15" s="55">
        <f t="shared" si="2"/>
        <v>1</v>
      </c>
      <c r="H15" s="61"/>
      <c r="I15" s="6" t="str">
        <f t="shared" si="3"/>
        <v>н/я</v>
      </c>
      <c r="J15" s="32"/>
      <c r="K15" s="6">
        <f t="shared" si="4"/>
        <v>0</v>
      </c>
      <c r="L15" s="7">
        <f t="shared" ref="L15:L17" si="8">IF(G15="не доп",G15,IF(I15="не явил",I15,IF(I15&lt;4,I15,IF(AND(G15&gt;5,I15&gt;6,J15&gt;0.19,K15&lt;4),4,IF(K15&lt;4,3,ROUND(0.4*I15+0.6*K15,0))))))</f>
        <v>3</v>
      </c>
      <c r="M15" s="7">
        <f t="shared" ref="M15:M17" si="9">IF(G15="не доп",G15,IF(I15="не явил",I15,IF(L15&gt;3,ROUND(0.4*G15+0.6*L15,0),L15)))</f>
        <v>3</v>
      </c>
      <c r="N15" s="62" t="str">
        <f t="shared" ref="N15:N17" si="10">ОценкаЗачет(M15)</f>
        <v>не зачтено</v>
      </c>
      <c r="O15" s="16"/>
    </row>
    <row r="16" spans="1:17" x14ac:dyDescent="0.2">
      <c r="A16" s="14">
        <v>15</v>
      </c>
      <c r="B16" s="68">
        <v>1</v>
      </c>
      <c r="C16" s="111" t="s">
        <v>64</v>
      </c>
      <c r="D16" s="66"/>
      <c r="E16" s="7">
        <f>VLOOKUP(C16,'131701с_лк'!$B$2:$K$17,10,FALSE)</f>
        <v>4</v>
      </c>
      <c r="F16" s="7">
        <f>VLOOKUP(C16,'131701с_лб'!$B$3:$U$18,20,FALSE)</f>
        <v>4</v>
      </c>
      <c r="G16" s="55">
        <f t="shared" si="2"/>
        <v>4</v>
      </c>
      <c r="H16" s="61"/>
      <c r="I16" s="6" t="str">
        <f t="shared" si="3"/>
        <v>н/я</v>
      </c>
      <c r="J16" s="32"/>
      <c r="K16" s="6">
        <f t="shared" si="4"/>
        <v>0</v>
      </c>
      <c r="L16" s="7">
        <f t="shared" si="8"/>
        <v>3</v>
      </c>
      <c r="M16" s="7">
        <f t="shared" si="9"/>
        <v>3</v>
      </c>
      <c r="N16" s="62" t="str">
        <f t="shared" si="10"/>
        <v>не зачтено</v>
      </c>
      <c r="O16" s="16"/>
    </row>
    <row r="17" spans="1:15" x14ac:dyDescent="0.2">
      <c r="A17" s="14">
        <v>16</v>
      </c>
      <c r="B17" s="68">
        <v>1</v>
      </c>
      <c r="C17" s="111" t="s">
        <v>65</v>
      </c>
      <c r="D17" s="66"/>
      <c r="E17" s="7">
        <f>VLOOKUP(C17,'131701с_лк'!$B$2:$K$17,10,FALSE)</f>
        <v>3</v>
      </c>
      <c r="F17" s="7">
        <f>VLOOKUP(C17,'131701с_лб'!$B$3:$U$18,20,FALSE)</f>
        <v>1</v>
      </c>
      <c r="G17" s="55">
        <f t="shared" si="2"/>
        <v>1</v>
      </c>
      <c r="H17" s="61"/>
      <c r="I17" s="6" t="str">
        <f t="shared" si="3"/>
        <v>н/я</v>
      </c>
      <c r="J17" s="32"/>
      <c r="K17" s="6">
        <f t="shared" si="4"/>
        <v>0</v>
      </c>
      <c r="L17" s="7">
        <f t="shared" si="8"/>
        <v>3</v>
      </c>
      <c r="M17" s="7">
        <f t="shared" si="9"/>
        <v>3</v>
      </c>
      <c r="N17" s="62" t="str">
        <f t="shared" si="10"/>
        <v>не зачтено</v>
      </c>
      <c r="O17" s="16"/>
    </row>
    <row r="19" spans="1:15" x14ac:dyDescent="0.2">
      <c r="L19" s="9" t="s">
        <v>6</v>
      </c>
      <c r="M19" s="8">
        <f>COUNTIF($M$2:$M$17,"=не явил")</f>
        <v>0</v>
      </c>
    </row>
    <row r="20" spans="1:15" x14ac:dyDescent="0.2">
      <c r="D20" s="36" t="s">
        <v>30</v>
      </c>
      <c r="J20" s="29"/>
      <c r="K20" s="29"/>
      <c r="L20" s="28" t="s">
        <v>7</v>
      </c>
      <c r="M20" s="34">
        <f>COUNTIF($M$2:$M$17,"=не доп")</f>
        <v>3</v>
      </c>
    </row>
    <row r="21" spans="1:15" x14ac:dyDescent="0.2">
      <c r="D21" s="35" t="s">
        <v>31</v>
      </c>
      <c r="L21" s="10" t="s">
        <v>8</v>
      </c>
      <c r="M21" s="8">
        <f>COUNTIF($M$2:$M$17,"=10")</f>
        <v>0</v>
      </c>
    </row>
    <row r="22" spans="1:15" x14ac:dyDescent="0.2">
      <c r="L22" s="10" t="s">
        <v>9</v>
      </c>
      <c r="M22" s="8">
        <f>COUNTIF($M$2:$M$17,"=9")</f>
        <v>0</v>
      </c>
    </row>
    <row r="23" spans="1:15" x14ac:dyDescent="0.2">
      <c r="L23" s="10" t="s">
        <v>10</v>
      </c>
      <c r="M23" s="8">
        <f>COUNTIF($M$2:$M$17,"=8")</f>
        <v>0</v>
      </c>
    </row>
    <row r="24" spans="1:15" x14ac:dyDescent="0.2">
      <c r="L24" s="10" t="s">
        <v>11</v>
      </c>
      <c r="M24" s="8">
        <f>COUNTIF($M$2:$M$17,"=7")</f>
        <v>0</v>
      </c>
    </row>
    <row r="25" spans="1:15" x14ac:dyDescent="0.2">
      <c r="L25" s="10" t="s">
        <v>12</v>
      </c>
      <c r="M25" s="8">
        <f>COUNTIF($M$2:$M$17,"=6")</f>
        <v>0</v>
      </c>
    </row>
    <row r="26" spans="1:15" x14ac:dyDescent="0.2">
      <c r="L26" s="10" t="s">
        <v>13</v>
      </c>
      <c r="M26" s="8">
        <f>COUNTIF($M$2:$M$17,"=5")</f>
        <v>0</v>
      </c>
    </row>
    <row r="27" spans="1:15" ht="13.5" thickBot="1" x14ac:dyDescent="0.25">
      <c r="L27" s="26" t="s">
        <v>14</v>
      </c>
      <c r="M27" s="27">
        <f>COUNTIF($M$2:$M$17,"=4")</f>
        <v>0</v>
      </c>
    </row>
    <row r="28" spans="1:15" x14ac:dyDescent="0.2">
      <c r="L28" s="10" t="s">
        <v>15</v>
      </c>
      <c r="M28" s="8">
        <f>COUNTIF($M$2:$M$17,"=3")</f>
        <v>13</v>
      </c>
    </row>
    <row r="29" spans="1:15" x14ac:dyDescent="0.2">
      <c r="L29" s="10" t="s">
        <v>16</v>
      </c>
      <c r="M29" s="8">
        <f>COUNTIF($M$2:$M$17,"=2")</f>
        <v>0</v>
      </c>
    </row>
    <row r="30" spans="1:15" ht="13.5" thickBot="1" x14ac:dyDescent="0.25">
      <c r="L30" s="11" t="s">
        <v>17</v>
      </c>
      <c r="M30" s="12">
        <f>COUNTIF($M$2:$M$17,"=1")</f>
        <v>0</v>
      </c>
    </row>
    <row r="31" spans="1:15" ht="13.5" thickTop="1" x14ac:dyDescent="0.2">
      <c r="L31" s="10" t="s">
        <v>18</v>
      </c>
      <c r="M31" s="13">
        <f>SUM(M21:M30)</f>
        <v>13</v>
      </c>
    </row>
  </sheetData>
  <sortState ref="B2:C36">
    <sortCondition ref="B2:B36"/>
  </sortState>
  <phoneticPr fontId="3" type="noConversion"/>
  <conditionalFormatting sqref="L21:L30">
    <cfRule type="cellIs" dxfId="21" priority="28" stopIfTrue="1" operator="equal">
      <formula>"отлично"</formula>
    </cfRule>
    <cfRule type="cellIs" dxfId="20" priority="29" stopIfTrue="1" operator="equal">
      <formula>"хорошо"</formula>
    </cfRule>
    <cfRule type="cellIs" dxfId="19" priority="30" stopIfTrue="1" operator="equal">
      <formula>"удовл"</formula>
    </cfRule>
  </conditionalFormatting>
  <conditionalFormatting sqref="H2:H17">
    <cfRule type="cellIs" dxfId="18" priority="35" stopIfTrue="1" operator="lessThan">
      <formula>0.5</formula>
    </cfRule>
  </conditionalFormatting>
  <conditionalFormatting sqref="J2:J17">
    <cfRule type="cellIs" dxfId="17" priority="36" stopIfTrue="1" operator="lessThan">
      <formula>0.4</formula>
    </cfRule>
  </conditionalFormatting>
  <conditionalFormatting sqref="N2:N17">
    <cfRule type="cellIs" dxfId="16" priority="39" stopIfTrue="1" operator="equal">
      <formula>"не доп"</formula>
    </cfRule>
    <cfRule type="cellIs" dxfId="15" priority="40" stopIfTrue="1" operator="equal">
      <formula>"не явил"</formula>
    </cfRule>
    <cfRule type="cellIs" dxfId="14" priority="41" stopIfTrue="1" operator="equal">
      <formula>"зачтено"</formula>
    </cfRule>
  </conditionalFormatting>
  <conditionalFormatting sqref="L2:M17 E2:F17">
    <cfRule type="cellIs" dxfId="13" priority="53" stopIfTrue="1" operator="lessThan">
      <formula>4</formula>
    </cfRule>
    <cfRule type="cellIs" dxfId="12" priority="54" stopIfTrue="1" operator="between">
      <formula>4</formula>
      <formula>6</formula>
    </cfRule>
    <cfRule type="cellIs" dxfId="11" priority="55" stopIfTrue="1" operator="greaterThanOrEqual">
      <formula>9</formula>
    </cfRule>
  </conditionalFormatting>
  <conditionalFormatting sqref="G2:G17">
    <cfRule type="cellIs" dxfId="10" priority="70" stopIfTrue="1" operator="between">
      <formula>7</formula>
      <formula>10</formula>
    </cfRule>
    <cfRule type="cellIs" dxfId="9" priority="71" stopIfTrue="1" operator="equal">
      <formula>"не доп"</formula>
    </cfRule>
    <cfRule type="cellIs" dxfId="8" priority="72" stopIfTrue="1" operator="between">
      <formula>1</formula>
      <formula>6</formula>
    </cfRule>
  </conditionalFormatting>
  <conditionalFormatting sqref="I2:I17">
    <cfRule type="cellIs" dxfId="7" priority="13" stopIfTrue="1" operator="lessThan">
      <formula>4</formula>
    </cfRule>
  </conditionalFormatting>
  <conditionalFormatting sqref="K2:K17">
    <cfRule type="cellIs" dxfId="6" priority="12" stopIfTrue="1" operator="lessThan">
      <formula>4</formula>
    </cfRule>
  </conditionalFormatting>
  <pageMargins left="0.39370078740157483" right="0.19685039370078741" top="0.59055118110236227" bottom="0.19685039370078741" header="0.19685039370078741" footer="0.19685039370078741"/>
  <pageSetup paperSize="9" scale="130" orientation="portrait" verticalDpi="300" r:id="rId1"/>
  <headerFooter alignWithMargins="0">
    <oddHeader>&amp;C&amp;"Arial Cyr,полужирный"Информатика&amp;"Arial Cyr,обычный"
экзамен&amp;RГруппа 151801с</oddHeader>
    <oddFooter>&amp;R&amp;D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pageSetUpPr fitToPage="1"/>
  </sheetPr>
  <dimension ref="A1:I25"/>
  <sheetViews>
    <sheetView workbookViewId="0">
      <selection activeCell="J4" sqref="J4"/>
    </sheetView>
  </sheetViews>
  <sheetFormatPr defaultRowHeight="12.75" x14ac:dyDescent="0.2"/>
  <cols>
    <col min="1" max="1" width="34.28515625" style="18" bestFit="1" customWidth="1"/>
    <col min="2" max="2" width="5" style="18" hidden="1" customWidth="1"/>
    <col min="3" max="3" width="33.85546875" style="18" customWidth="1"/>
    <col min="4" max="4" width="14.5703125" style="18" customWidth="1"/>
    <col min="5" max="5" width="13.42578125" style="18" customWidth="1"/>
    <col min="6" max="6" width="9.140625" style="18"/>
    <col min="7" max="7" width="14.5703125" style="18" customWidth="1"/>
    <col min="8" max="8" width="20" style="18" customWidth="1"/>
    <col min="9" max="16384" width="9.140625" style="18"/>
  </cols>
  <sheetData>
    <row r="1" spans="1:9" ht="81.75" customHeight="1" x14ac:dyDescent="0.2">
      <c r="A1" s="152" t="s">
        <v>1</v>
      </c>
      <c r="B1" s="142" t="s">
        <v>27</v>
      </c>
      <c r="C1" s="152" t="s">
        <v>2</v>
      </c>
      <c r="D1" s="151" t="s">
        <v>152</v>
      </c>
      <c r="E1" s="136" t="s">
        <v>146</v>
      </c>
      <c r="F1" s="136" t="s">
        <v>147</v>
      </c>
      <c r="G1" s="151" t="s">
        <v>150</v>
      </c>
      <c r="H1" s="151" t="s">
        <v>151</v>
      </c>
      <c r="I1" s="151" t="s">
        <v>43</v>
      </c>
    </row>
    <row r="2" spans="1:9" ht="13.5" customHeight="1" x14ac:dyDescent="0.2">
      <c r="A2" s="153"/>
      <c r="B2" s="142"/>
      <c r="C2" s="153"/>
      <c r="D2" s="151"/>
      <c r="E2" s="151" t="s">
        <v>148</v>
      </c>
      <c r="F2" s="151"/>
      <c r="G2" s="151"/>
      <c r="H2" s="151"/>
      <c r="I2" s="151"/>
    </row>
    <row r="3" spans="1:9" ht="21.95" customHeight="1" x14ac:dyDescent="0.2">
      <c r="A3" s="131" t="s">
        <v>58</v>
      </c>
      <c r="B3" s="132">
        <v>6.1</v>
      </c>
      <c r="C3" s="131" t="s">
        <v>129</v>
      </c>
      <c r="D3" s="130">
        <v>9</v>
      </c>
      <c r="E3" s="130">
        <v>6</v>
      </c>
      <c r="F3" s="159">
        <v>0</v>
      </c>
      <c r="G3" s="130">
        <v>0</v>
      </c>
      <c r="H3" s="130">
        <v>0</v>
      </c>
      <c r="I3" s="18">
        <f>AVERAGE(D3:H3)</f>
        <v>3</v>
      </c>
    </row>
    <row r="4" spans="1:9" ht="21.95" customHeight="1" x14ac:dyDescent="0.2">
      <c r="A4" s="134" t="s">
        <v>50</v>
      </c>
      <c r="B4" s="133">
        <v>5.8</v>
      </c>
      <c r="C4" s="154" t="s">
        <v>130</v>
      </c>
      <c r="D4" s="135">
        <v>9</v>
      </c>
      <c r="E4" s="135">
        <v>5</v>
      </c>
      <c r="F4" s="160">
        <v>6</v>
      </c>
      <c r="G4" s="135">
        <v>0</v>
      </c>
      <c r="H4" s="135">
        <v>0</v>
      </c>
      <c r="I4" s="18">
        <f t="shared" ref="I4:I19" si="0">AVERAGE(D4:H4)</f>
        <v>4</v>
      </c>
    </row>
    <row r="5" spans="1:9" ht="21.95" customHeight="1" x14ac:dyDescent="0.2">
      <c r="A5" s="134" t="s">
        <v>62</v>
      </c>
      <c r="B5" s="133"/>
      <c r="C5" s="155"/>
      <c r="D5" s="135">
        <v>9</v>
      </c>
      <c r="E5" s="135">
        <v>5</v>
      </c>
      <c r="F5" s="160">
        <v>1</v>
      </c>
      <c r="G5" s="135">
        <v>0</v>
      </c>
      <c r="H5" s="135">
        <v>0</v>
      </c>
      <c r="I5" s="18">
        <f t="shared" si="0"/>
        <v>3</v>
      </c>
    </row>
    <row r="6" spans="1:9" ht="21.95" customHeight="1" x14ac:dyDescent="0.2">
      <c r="A6" s="131" t="s">
        <v>51</v>
      </c>
      <c r="B6" s="132">
        <v>5.03</v>
      </c>
      <c r="C6" s="131" t="s">
        <v>131</v>
      </c>
      <c r="D6" s="130">
        <v>9</v>
      </c>
      <c r="E6" s="130">
        <v>5</v>
      </c>
      <c r="F6" s="159">
        <v>1</v>
      </c>
      <c r="G6" s="130">
        <v>0</v>
      </c>
      <c r="H6" s="130">
        <v>0</v>
      </c>
      <c r="I6" s="18">
        <f t="shared" si="0"/>
        <v>3</v>
      </c>
    </row>
    <row r="7" spans="1:9" ht="21.95" customHeight="1" x14ac:dyDescent="0.2">
      <c r="A7" s="134" t="s">
        <v>55</v>
      </c>
      <c r="B7" s="133">
        <v>4.63</v>
      </c>
      <c r="C7" s="154" t="s">
        <v>132</v>
      </c>
      <c r="D7" s="135">
        <v>5</v>
      </c>
      <c r="E7" s="135">
        <v>5</v>
      </c>
      <c r="F7" s="160">
        <v>4</v>
      </c>
      <c r="G7" s="135">
        <v>0</v>
      </c>
      <c r="H7" s="135">
        <v>0</v>
      </c>
      <c r="I7" s="18">
        <f t="shared" si="0"/>
        <v>2.8</v>
      </c>
    </row>
    <row r="8" spans="1:9" ht="21.95" customHeight="1" x14ac:dyDescent="0.2">
      <c r="A8" s="134" t="s">
        <v>65</v>
      </c>
      <c r="B8" s="133"/>
      <c r="C8" s="155"/>
      <c r="D8" s="135">
        <v>5</v>
      </c>
      <c r="E8" s="135">
        <v>4</v>
      </c>
      <c r="F8" s="160">
        <v>4</v>
      </c>
      <c r="G8" s="135">
        <v>0</v>
      </c>
      <c r="H8" s="135">
        <v>0</v>
      </c>
      <c r="I8" s="18">
        <f t="shared" si="0"/>
        <v>2.6</v>
      </c>
    </row>
    <row r="9" spans="1:9" ht="21.95" customHeight="1" x14ac:dyDescent="0.2">
      <c r="A9" s="131" t="s">
        <v>60</v>
      </c>
      <c r="B9" s="132"/>
      <c r="C9" s="131" t="s">
        <v>133</v>
      </c>
      <c r="D9" s="130"/>
      <c r="E9" s="130"/>
      <c r="F9" s="159"/>
      <c r="G9" s="130"/>
      <c r="H9" s="130"/>
      <c r="I9" s="18">
        <v>0</v>
      </c>
    </row>
    <row r="10" spans="1:9" ht="21.95" customHeight="1" x14ac:dyDescent="0.2">
      <c r="A10" s="134" t="s">
        <v>59</v>
      </c>
      <c r="B10" s="133"/>
      <c r="C10" s="134" t="s">
        <v>134</v>
      </c>
      <c r="D10" s="135">
        <v>9</v>
      </c>
      <c r="E10" s="135">
        <v>7</v>
      </c>
      <c r="F10" s="160">
        <v>8</v>
      </c>
      <c r="G10" s="135">
        <v>0</v>
      </c>
      <c r="H10" s="135">
        <v>0</v>
      </c>
      <c r="I10" s="18">
        <f t="shared" si="0"/>
        <v>4.8</v>
      </c>
    </row>
    <row r="11" spans="1:9" ht="21.95" customHeight="1" x14ac:dyDescent="0.2">
      <c r="A11" s="131" t="s">
        <v>64</v>
      </c>
      <c r="B11" s="132"/>
      <c r="C11" s="131" t="s">
        <v>135</v>
      </c>
      <c r="D11" s="130">
        <v>5</v>
      </c>
      <c r="E11" s="130">
        <v>6</v>
      </c>
      <c r="F11" s="159">
        <v>7</v>
      </c>
      <c r="G11" s="130">
        <v>0</v>
      </c>
      <c r="H11" s="130">
        <v>0</v>
      </c>
      <c r="I11" s="18">
        <f t="shared" si="0"/>
        <v>3.6</v>
      </c>
    </row>
    <row r="12" spans="1:9" ht="25.5" x14ac:dyDescent="0.2">
      <c r="A12" s="134" t="s">
        <v>54</v>
      </c>
      <c r="B12" s="133"/>
      <c r="C12" s="134" t="s">
        <v>136</v>
      </c>
      <c r="D12" s="135">
        <v>9</v>
      </c>
      <c r="E12" s="135">
        <v>2</v>
      </c>
      <c r="F12" s="160">
        <v>2</v>
      </c>
      <c r="G12" s="135">
        <v>0</v>
      </c>
      <c r="H12" s="135">
        <v>0</v>
      </c>
      <c r="I12" s="18">
        <f t="shared" si="0"/>
        <v>2.6</v>
      </c>
    </row>
    <row r="13" spans="1:9" ht="21.95" customHeight="1" x14ac:dyDescent="0.2">
      <c r="A13" s="131" t="s">
        <v>63</v>
      </c>
      <c r="B13" s="132"/>
      <c r="C13" s="131" t="s">
        <v>137</v>
      </c>
      <c r="D13" s="130">
        <v>5</v>
      </c>
      <c r="E13" s="130">
        <v>4</v>
      </c>
      <c r="F13" s="159">
        <v>4</v>
      </c>
      <c r="G13" s="130">
        <v>4</v>
      </c>
      <c r="H13" s="130">
        <v>0</v>
      </c>
      <c r="I13" s="18">
        <f t="shared" si="0"/>
        <v>3.4</v>
      </c>
    </row>
    <row r="14" spans="1:9" ht="25.5" x14ac:dyDescent="0.2">
      <c r="A14" s="138"/>
      <c r="B14" s="139"/>
      <c r="C14" s="140" t="s">
        <v>138</v>
      </c>
      <c r="D14" s="141"/>
      <c r="E14" s="141"/>
      <c r="F14" s="161"/>
      <c r="G14" s="141"/>
      <c r="H14" s="141"/>
    </row>
    <row r="15" spans="1:9" ht="21.95" customHeight="1" x14ac:dyDescent="0.2">
      <c r="A15" s="134" t="s">
        <v>52</v>
      </c>
      <c r="B15" s="133"/>
      <c r="C15" s="154" t="s">
        <v>139</v>
      </c>
      <c r="D15" s="135">
        <v>9</v>
      </c>
      <c r="E15" s="135">
        <v>10</v>
      </c>
      <c r="F15" s="160">
        <v>10</v>
      </c>
      <c r="G15" s="135">
        <v>8</v>
      </c>
      <c r="H15" s="135">
        <v>9</v>
      </c>
      <c r="I15" s="18">
        <f t="shared" si="0"/>
        <v>9.1999999999999993</v>
      </c>
    </row>
    <row r="16" spans="1:9" ht="21.95" customHeight="1" x14ac:dyDescent="0.2">
      <c r="A16" s="134" t="s">
        <v>56</v>
      </c>
      <c r="B16" s="133"/>
      <c r="C16" s="155"/>
      <c r="D16" s="135">
        <v>9</v>
      </c>
      <c r="E16" s="135">
        <v>10</v>
      </c>
      <c r="F16" s="160">
        <v>10</v>
      </c>
      <c r="G16" s="135">
        <v>8</v>
      </c>
      <c r="H16" s="135">
        <v>9</v>
      </c>
      <c r="I16" s="18">
        <f t="shared" si="0"/>
        <v>9.1999999999999993</v>
      </c>
    </row>
    <row r="17" spans="1:9" ht="21.95" customHeight="1" x14ac:dyDescent="0.2">
      <c r="A17" s="131" t="s">
        <v>53</v>
      </c>
      <c r="B17" s="132"/>
      <c r="C17" s="156" t="s">
        <v>140</v>
      </c>
      <c r="D17" s="130">
        <v>9</v>
      </c>
      <c r="E17" s="130">
        <v>4</v>
      </c>
      <c r="F17" s="159">
        <v>0</v>
      </c>
      <c r="G17" s="130">
        <v>0</v>
      </c>
      <c r="H17" s="130">
        <v>0</v>
      </c>
      <c r="I17" s="18">
        <f t="shared" si="0"/>
        <v>2.6</v>
      </c>
    </row>
    <row r="18" spans="1:9" ht="21.95" customHeight="1" x14ac:dyDescent="0.2">
      <c r="A18" s="131" t="s">
        <v>57</v>
      </c>
      <c r="B18" s="132"/>
      <c r="C18" s="157"/>
      <c r="D18" s="130">
        <v>9</v>
      </c>
      <c r="E18" s="130">
        <v>4</v>
      </c>
      <c r="F18" s="159">
        <v>0</v>
      </c>
      <c r="G18" s="130">
        <v>0</v>
      </c>
      <c r="H18" s="130">
        <v>0</v>
      </c>
      <c r="I18" s="18">
        <f t="shared" si="0"/>
        <v>2.6</v>
      </c>
    </row>
    <row r="19" spans="1:9" ht="21.95" customHeight="1" x14ac:dyDescent="0.2">
      <c r="A19" s="134" t="s">
        <v>61</v>
      </c>
      <c r="B19" s="133"/>
      <c r="C19" s="134" t="s">
        <v>141</v>
      </c>
      <c r="D19" s="137">
        <v>9</v>
      </c>
      <c r="E19" s="135">
        <v>8</v>
      </c>
      <c r="F19" s="160">
        <v>8</v>
      </c>
      <c r="G19" s="135">
        <v>9</v>
      </c>
      <c r="H19" s="135">
        <v>8</v>
      </c>
      <c r="I19" s="18">
        <f t="shared" si="0"/>
        <v>8.4</v>
      </c>
    </row>
    <row r="21" spans="1:9" x14ac:dyDescent="0.2">
      <c r="D21" s="70" t="s">
        <v>149</v>
      </c>
    </row>
    <row r="22" spans="1:9" ht="16.5" x14ac:dyDescent="0.2">
      <c r="C22" s="129"/>
    </row>
    <row r="23" spans="1:9" ht="16.5" x14ac:dyDescent="0.2">
      <c r="C23" s="129"/>
    </row>
    <row r="24" spans="1:9" ht="16.5" x14ac:dyDescent="0.2">
      <c r="C24" s="129"/>
    </row>
    <row r="25" spans="1:9" ht="16.5" x14ac:dyDescent="0.2">
      <c r="C25" s="129"/>
    </row>
  </sheetData>
  <mergeCells count="11">
    <mergeCell ref="I1:I2"/>
    <mergeCell ref="C7:C8"/>
    <mergeCell ref="C15:C16"/>
    <mergeCell ref="C17:C18"/>
    <mergeCell ref="D1:D2"/>
    <mergeCell ref="E2:F2"/>
    <mergeCell ref="G1:G2"/>
    <mergeCell ref="H1:H2"/>
    <mergeCell ref="C1:C2"/>
    <mergeCell ref="A1:A2"/>
    <mergeCell ref="C4:C5"/>
  </mergeCells>
  <pageMargins left="0.39370078740157483" right="0.19685039370078741" top="0.70866141732283472" bottom="0.19685039370078741" header="0.31496062992125984" footer="0.51181102362204722"/>
  <pageSetup paperSize="9" orientation="landscape" cellComments="asDisplayed" r:id="rId1"/>
  <headerFooter alignWithMargins="0">
    <oddHeader>&amp;C&amp;"Arial,полужирный"&amp;11Модели и технологии оперативного анализа данных&amp;R&amp;A</oddHeader>
    <oddFooter>&amp;R&amp;D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4"/>
  </sheetPr>
  <dimension ref="A1:C18"/>
  <sheetViews>
    <sheetView workbookViewId="0">
      <selection activeCell="D15" sqref="D15"/>
    </sheetView>
  </sheetViews>
  <sheetFormatPr defaultRowHeight="12.75" x14ac:dyDescent="0.2"/>
  <cols>
    <col min="1" max="1" width="3.85546875" bestFit="1" customWidth="1"/>
    <col min="2" max="2" width="49.42578125" customWidth="1"/>
  </cols>
  <sheetData>
    <row r="1" spans="1:3" ht="41.25" customHeight="1" x14ac:dyDescent="0.25">
      <c r="A1" s="148" t="s">
        <v>83</v>
      </c>
      <c r="B1" s="149"/>
      <c r="C1" s="149"/>
    </row>
    <row r="2" spans="1:3" ht="15" x14ac:dyDescent="0.2">
      <c r="A2" s="41"/>
      <c r="B2" s="41"/>
      <c r="C2" s="41"/>
    </row>
    <row r="3" spans="1:3" s="45" customFormat="1" ht="15" x14ac:dyDescent="0.2">
      <c r="A3" s="42">
        <v>1</v>
      </c>
      <c r="B3" s="43" t="s">
        <v>50</v>
      </c>
      <c r="C3" s="44">
        <f>'131701с_итог'!G2</f>
        <v>2</v>
      </c>
    </row>
    <row r="4" spans="1:3" s="45" customFormat="1" ht="15" x14ac:dyDescent="0.2">
      <c r="A4" s="42">
        <v>2</v>
      </c>
      <c r="B4" s="43" t="s">
        <v>51</v>
      </c>
      <c r="C4" s="44">
        <f>'131701с_итог'!G3</f>
        <v>2</v>
      </c>
    </row>
    <row r="5" spans="1:3" s="45" customFormat="1" ht="15" x14ac:dyDescent="0.2">
      <c r="A5" s="42">
        <v>3</v>
      </c>
      <c r="B5" s="43" t="s">
        <v>52</v>
      </c>
      <c r="C5" s="44" t="str">
        <f>'131701с_итог'!G4</f>
        <v>не доп</v>
      </c>
    </row>
    <row r="6" spans="1:3" s="45" customFormat="1" ht="15" x14ac:dyDescent="0.2">
      <c r="A6" s="42">
        <v>4</v>
      </c>
      <c r="B6" s="43" t="s">
        <v>53</v>
      </c>
      <c r="C6" s="44">
        <f>'131701с_итог'!G5</f>
        <v>2</v>
      </c>
    </row>
    <row r="7" spans="1:3" s="45" customFormat="1" ht="15" x14ac:dyDescent="0.2">
      <c r="A7" s="42">
        <v>5</v>
      </c>
      <c r="B7" s="43" t="s">
        <v>54</v>
      </c>
      <c r="C7" s="44">
        <f>'131701с_итог'!G6</f>
        <v>1</v>
      </c>
    </row>
    <row r="8" spans="1:3" s="45" customFormat="1" ht="15" x14ac:dyDescent="0.2">
      <c r="A8" s="42">
        <v>6</v>
      </c>
      <c r="B8" s="43" t="s">
        <v>55</v>
      </c>
      <c r="C8" s="44" t="str">
        <f>'131701с_итог'!G7</f>
        <v>не доп</v>
      </c>
    </row>
    <row r="9" spans="1:3" s="45" customFormat="1" ht="15" x14ac:dyDescent="0.2">
      <c r="A9" s="42">
        <v>7</v>
      </c>
      <c r="B9" s="43" t="s">
        <v>56</v>
      </c>
      <c r="C9" s="44">
        <f>'131701с_итог'!G8</f>
        <v>10</v>
      </c>
    </row>
    <row r="10" spans="1:3" s="45" customFormat="1" ht="15" x14ac:dyDescent="0.2">
      <c r="A10" s="42">
        <v>8</v>
      </c>
      <c r="B10" s="43" t="s">
        <v>57</v>
      </c>
      <c r="C10" s="44">
        <f>'131701с_итог'!G9</f>
        <v>1</v>
      </c>
    </row>
    <row r="11" spans="1:3" s="45" customFormat="1" ht="15" x14ac:dyDescent="0.2">
      <c r="A11" s="42">
        <v>9</v>
      </c>
      <c r="B11" s="43" t="s">
        <v>58</v>
      </c>
      <c r="C11" s="44">
        <f>'131701с_итог'!G10</f>
        <v>3</v>
      </c>
    </row>
    <row r="12" spans="1:3" s="45" customFormat="1" ht="15" x14ac:dyDescent="0.2">
      <c r="A12" s="42">
        <v>10</v>
      </c>
      <c r="B12" s="43" t="s">
        <v>59</v>
      </c>
      <c r="C12" s="44">
        <f>'131701с_итог'!G11</f>
        <v>3</v>
      </c>
    </row>
    <row r="13" spans="1:3" s="45" customFormat="1" ht="15" x14ac:dyDescent="0.2">
      <c r="A13" s="42">
        <v>11</v>
      </c>
      <c r="B13" s="43" t="s">
        <v>60</v>
      </c>
      <c r="C13" s="44" t="str">
        <f>'131701с_итог'!G12</f>
        <v>не доп</v>
      </c>
    </row>
    <row r="14" spans="1:3" s="45" customFormat="1" ht="15" x14ac:dyDescent="0.2">
      <c r="A14" s="42">
        <v>12</v>
      </c>
      <c r="B14" s="43" t="s">
        <v>61</v>
      </c>
      <c r="C14" s="44">
        <f>'131701с_итог'!G13</f>
        <v>9</v>
      </c>
    </row>
    <row r="15" spans="1:3" s="45" customFormat="1" ht="15" x14ac:dyDescent="0.2">
      <c r="A15" s="42">
        <v>13</v>
      </c>
      <c r="B15" s="43" t="s">
        <v>62</v>
      </c>
      <c r="C15" s="44">
        <f>'131701с_итог'!G14</f>
        <v>2</v>
      </c>
    </row>
    <row r="16" spans="1:3" s="45" customFormat="1" ht="15" x14ac:dyDescent="0.2">
      <c r="A16" s="42">
        <v>14</v>
      </c>
      <c r="B16" s="43" t="s">
        <v>63</v>
      </c>
      <c r="C16" s="44">
        <f>'131701с_итог'!G15</f>
        <v>1</v>
      </c>
    </row>
    <row r="17" spans="1:3" s="45" customFormat="1" ht="15" x14ac:dyDescent="0.2">
      <c r="A17" s="42">
        <v>15</v>
      </c>
      <c r="B17" s="43" t="s">
        <v>64</v>
      </c>
      <c r="C17" s="44">
        <f>'131701с_итог'!G16</f>
        <v>4</v>
      </c>
    </row>
    <row r="18" spans="1:3" s="45" customFormat="1" ht="15" x14ac:dyDescent="0.2">
      <c r="A18" s="42">
        <v>16</v>
      </c>
      <c r="B18" s="43" t="s">
        <v>65</v>
      </c>
      <c r="C18" s="44">
        <f>'131701с_итог'!G17</f>
        <v>1</v>
      </c>
    </row>
  </sheetData>
  <mergeCells count="1">
    <mergeCell ref="A1:C1"/>
  </mergeCells>
  <phoneticPr fontId="3" type="noConversion"/>
  <pageMargins left="0.75" right="0.75" top="1" bottom="1" header="0.5" footer="0.5"/>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theme="4"/>
  </sheetPr>
  <dimension ref="A1:E29"/>
  <sheetViews>
    <sheetView workbookViewId="0">
      <selection activeCell="F18" sqref="F18"/>
    </sheetView>
  </sheetViews>
  <sheetFormatPr defaultRowHeight="12.75" x14ac:dyDescent="0.2"/>
  <cols>
    <col min="1" max="1" width="3" bestFit="1" customWidth="1"/>
    <col min="2" max="2" width="36.42578125" bestFit="1" customWidth="1"/>
    <col min="3" max="3" width="11.140625" customWidth="1"/>
    <col min="4" max="4" width="14.140625" bestFit="1" customWidth="1"/>
  </cols>
  <sheetData>
    <row r="1" spans="1:5" x14ac:dyDescent="0.2">
      <c r="A1" s="150" t="s">
        <v>37</v>
      </c>
      <c r="B1" s="150"/>
      <c r="C1" s="150"/>
      <c r="D1" s="150"/>
      <c r="E1" s="150"/>
    </row>
    <row r="2" spans="1:5" x14ac:dyDescent="0.2">
      <c r="B2" s="48"/>
      <c r="C2" s="48"/>
      <c r="D2" s="48"/>
      <c r="E2" s="48"/>
    </row>
    <row r="3" spans="1:5" x14ac:dyDescent="0.2">
      <c r="B3" s="46" t="s">
        <v>35</v>
      </c>
      <c r="C3" s="49" t="s">
        <v>84</v>
      </c>
    </row>
    <row r="4" spans="1:5" x14ac:dyDescent="0.2">
      <c r="B4" s="46" t="s">
        <v>33</v>
      </c>
      <c r="C4" s="49" t="s">
        <v>85</v>
      </c>
    </row>
    <row r="5" spans="1:5" x14ac:dyDescent="0.2">
      <c r="B5" s="46" t="s">
        <v>34</v>
      </c>
      <c r="C5" s="49" t="s">
        <v>86</v>
      </c>
    </row>
    <row r="6" spans="1:5" x14ac:dyDescent="0.2">
      <c r="B6" s="46" t="s">
        <v>5</v>
      </c>
      <c r="C6" s="49">
        <v>8</v>
      </c>
    </row>
    <row r="7" spans="1:5" x14ac:dyDescent="0.2">
      <c r="B7" s="46" t="s">
        <v>38</v>
      </c>
      <c r="C7" s="49" t="s">
        <v>87</v>
      </c>
    </row>
    <row r="9" spans="1:5" ht="14.25" x14ac:dyDescent="0.2">
      <c r="A9" s="50" t="s">
        <v>0</v>
      </c>
      <c r="B9" s="50" t="s">
        <v>1</v>
      </c>
      <c r="C9" s="50" t="s">
        <v>88</v>
      </c>
      <c r="D9" s="50" t="s">
        <v>39</v>
      </c>
    </row>
    <row r="10" spans="1:5" x14ac:dyDescent="0.2">
      <c r="A10" s="33">
        <v>1</v>
      </c>
      <c r="B10" s="33" t="s">
        <v>50</v>
      </c>
      <c r="C10" s="47">
        <v>8</v>
      </c>
      <c r="D10" s="47">
        <v>4</v>
      </c>
    </row>
    <row r="11" spans="1:5" x14ac:dyDescent="0.2">
      <c r="A11" s="33">
        <v>2</v>
      </c>
      <c r="B11" s="33" t="s">
        <v>51</v>
      </c>
      <c r="C11" s="47">
        <v>6</v>
      </c>
      <c r="D11" s="47">
        <v>3</v>
      </c>
    </row>
    <row r="12" spans="1:5" x14ac:dyDescent="0.2">
      <c r="A12" s="33">
        <v>3</v>
      </c>
      <c r="B12" s="33" t="s">
        <v>52</v>
      </c>
      <c r="C12" s="47">
        <v>7</v>
      </c>
      <c r="D12" s="47">
        <v>9</v>
      </c>
    </row>
    <row r="13" spans="1:5" x14ac:dyDescent="0.2">
      <c r="A13" s="33">
        <v>4</v>
      </c>
      <c r="B13" s="33" t="s">
        <v>53</v>
      </c>
      <c r="C13" s="47">
        <v>6</v>
      </c>
      <c r="D13" s="47">
        <v>3</v>
      </c>
    </row>
    <row r="14" spans="1:5" x14ac:dyDescent="0.2">
      <c r="A14" s="33">
        <v>5</v>
      </c>
      <c r="B14" s="33" t="s">
        <v>54</v>
      </c>
      <c r="C14" s="47">
        <v>0</v>
      </c>
      <c r="D14" s="47">
        <v>3</v>
      </c>
    </row>
    <row r="15" spans="1:5" x14ac:dyDescent="0.2">
      <c r="A15" s="33">
        <v>6</v>
      </c>
      <c r="B15" s="33" t="s">
        <v>55</v>
      </c>
      <c r="C15" s="47">
        <v>0</v>
      </c>
      <c r="D15" s="47">
        <v>4</v>
      </c>
    </row>
    <row r="16" spans="1:5" x14ac:dyDescent="0.2">
      <c r="A16" s="33">
        <v>7</v>
      </c>
      <c r="B16" s="33" t="s">
        <v>56</v>
      </c>
      <c r="C16" s="47">
        <v>9</v>
      </c>
      <c r="D16" s="47">
        <v>9</v>
      </c>
    </row>
    <row r="17" spans="1:5" x14ac:dyDescent="0.2">
      <c r="A17" s="33">
        <v>8</v>
      </c>
      <c r="B17" s="33" t="s">
        <v>57</v>
      </c>
      <c r="C17" s="47">
        <v>0</v>
      </c>
      <c r="D17" s="47">
        <v>3</v>
      </c>
    </row>
    <row r="18" spans="1:5" x14ac:dyDescent="0.2">
      <c r="A18" s="33">
        <v>9</v>
      </c>
      <c r="B18" s="33" t="s">
        <v>58</v>
      </c>
      <c r="C18" s="47">
        <v>9</v>
      </c>
      <c r="D18" s="47">
        <v>3</v>
      </c>
    </row>
    <row r="19" spans="1:5" x14ac:dyDescent="0.2">
      <c r="A19" s="33">
        <v>10</v>
      </c>
      <c r="B19" s="33" t="s">
        <v>59</v>
      </c>
      <c r="C19" s="47">
        <v>4</v>
      </c>
      <c r="D19" s="47">
        <v>5</v>
      </c>
    </row>
    <row r="20" spans="1:5" x14ac:dyDescent="0.2">
      <c r="A20" s="33">
        <v>11</v>
      </c>
      <c r="B20" s="33" t="s">
        <v>60</v>
      </c>
      <c r="C20" s="47">
        <v>0</v>
      </c>
      <c r="D20" s="47">
        <v>0</v>
      </c>
    </row>
    <row r="21" spans="1:5" x14ac:dyDescent="0.2">
      <c r="A21" s="33">
        <v>12</v>
      </c>
      <c r="B21" s="33" t="s">
        <v>61</v>
      </c>
      <c r="C21" s="47">
        <v>10</v>
      </c>
      <c r="D21" s="47">
        <v>8</v>
      </c>
    </row>
    <row r="22" spans="1:5" x14ac:dyDescent="0.2">
      <c r="A22" s="33">
        <v>13</v>
      </c>
      <c r="B22" s="33" t="s">
        <v>62</v>
      </c>
      <c r="C22" s="47">
        <v>8</v>
      </c>
      <c r="D22" s="47">
        <v>3</v>
      </c>
    </row>
    <row r="23" spans="1:5" x14ac:dyDescent="0.2">
      <c r="A23" s="33">
        <v>14</v>
      </c>
      <c r="B23" s="33" t="s">
        <v>63</v>
      </c>
      <c r="C23" s="47">
        <v>3</v>
      </c>
      <c r="D23" s="47">
        <v>3</v>
      </c>
    </row>
    <row r="24" spans="1:5" x14ac:dyDescent="0.2">
      <c r="A24" s="33">
        <v>15</v>
      </c>
      <c r="B24" s="33" t="s">
        <v>64</v>
      </c>
      <c r="C24" s="47">
        <v>6</v>
      </c>
      <c r="D24" s="47">
        <v>4</v>
      </c>
    </row>
    <row r="25" spans="1:5" x14ac:dyDescent="0.2">
      <c r="A25" s="33">
        <v>16</v>
      </c>
      <c r="B25" s="33" t="s">
        <v>65</v>
      </c>
      <c r="C25" s="47">
        <v>0</v>
      </c>
      <c r="D25" s="47">
        <v>3</v>
      </c>
    </row>
    <row r="27" spans="1:5" x14ac:dyDescent="0.2">
      <c r="A27" t="s">
        <v>36</v>
      </c>
    </row>
    <row r="28" spans="1:5" ht="14.25" x14ac:dyDescent="0.2">
      <c r="A28" s="51">
        <v>1</v>
      </c>
      <c r="B28" s="158" t="s">
        <v>89</v>
      </c>
      <c r="C28" s="158"/>
      <c r="D28" s="158"/>
      <c r="E28" s="158"/>
    </row>
    <row r="29" spans="1:5" ht="14.25" x14ac:dyDescent="0.2">
      <c r="A29" s="51">
        <v>2</v>
      </c>
      <c r="B29" s="158" t="s">
        <v>90</v>
      </c>
      <c r="C29" s="158"/>
      <c r="D29" s="158"/>
      <c r="E29" s="158"/>
    </row>
  </sheetData>
  <mergeCells count="3">
    <mergeCell ref="B29:E29"/>
    <mergeCell ref="B28:E28"/>
    <mergeCell ref="A1:E1"/>
  </mergeCells>
  <pageMargins left="0.7" right="0.7" top="0.75" bottom="0.75" header="0.3" footer="0.3"/>
  <pageSetup paperSize="9" orientation="portrait" horizontalDpi="30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B1:H23"/>
  <sheetViews>
    <sheetView workbookViewId="0">
      <pane ySplit="1" topLeftCell="A2" activePane="bottomLeft" state="frozen"/>
      <selection pane="bottomLeft" activeCell="J12" sqref="J12"/>
    </sheetView>
  </sheetViews>
  <sheetFormatPr defaultRowHeight="12.75" x14ac:dyDescent="0.2"/>
  <cols>
    <col min="1" max="1" width="0.7109375" customWidth="1"/>
    <col min="2" max="2" width="5.140625" customWidth="1"/>
    <col min="3" max="3" width="86.85546875" style="84" customWidth="1"/>
    <col min="4" max="6" width="7.7109375" customWidth="1"/>
    <col min="7" max="8" width="9.28515625" customWidth="1"/>
  </cols>
  <sheetData>
    <row r="1" spans="2:8" x14ac:dyDescent="0.2">
      <c r="B1" s="86" t="s">
        <v>0</v>
      </c>
      <c r="C1" s="81" t="s">
        <v>2</v>
      </c>
      <c r="D1" s="73" t="s">
        <v>40</v>
      </c>
      <c r="E1" s="73" t="s">
        <v>91</v>
      </c>
      <c r="F1" s="73" t="s">
        <v>41</v>
      </c>
      <c r="G1" s="73" t="s">
        <v>42</v>
      </c>
      <c r="H1" s="74" t="s">
        <v>92</v>
      </c>
    </row>
    <row r="2" spans="2:8" ht="38.25" x14ac:dyDescent="0.2">
      <c r="B2" s="77">
        <v>1</v>
      </c>
      <c r="C2" s="82" t="s">
        <v>101</v>
      </c>
      <c r="D2" s="77">
        <v>2</v>
      </c>
      <c r="E2" s="77"/>
      <c r="F2" s="77"/>
      <c r="G2" s="77"/>
      <c r="H2" s="80"/>
    </row>
    <row r="3" spans="2:8" ht="38.25" x14ac:dyDescent="0.2">
      <c r="B3" s="77">
        <v>2</v>
      </c>
      <c r="C3" s="82" t="s">
        <v>102</v>
      </c>
      <c r="D3" s="77">
        <v>2</v>
      </c>
      <c r="E3" s="77"/>
      <c r="F3" s="77"/>
      <c r="G3" s="77"/>
      <c r="H3" s="80"/>
    </row>
    <row r="4" spans="2:8" x14ac:dyDescent="0.2">
      <c r="B4" s="77">
        <v>3</v>
      </c>
      <c r="C4" s="85" t="s">
        <v>93</v>
      </c>
      <c r="D4" s="77"/>
      <c r="E4" s="77"/>
      <c r="F4" s="77"/>
      <c r="G4" s="77">
        <v>4</v>
      </c>
      <c r="H4" s="80">
        <v>8</v>
      </c>
    </row>
    <row r="5" spans="2:8" ht="25.5" x14ac:dyDescent="0.2">
      <c r="B5" s="78">
        <v>3.1</v>
      </c>
      <c r="C5" s="83" t="s">
        <v>104</v>
      </c>
      <c r="D5" s="78"/>
      <c r="E5" s="78"/>
      <c r="F5" s="78"/>
      <c r="G5" s="78">
        <v>4</v>
      </c>
      <c r="H5" s="79"/>
    </row>
    <row r="6" spans="2:8" ht="51" x14ac:dyDescent="0.2">
      <c r="B6" s="78">
        <v>3.2</v>
      </c>
      <c r="C6" s="83" t="s">
        <v>103</v>
      </c>
      <c r="D6" s="78"/>
      <c r="E6" s="78"/>
      <c r="F6" s="78"/>
      <c r="G6" s="78"/>
      <c r="H6" s="79">
        <v>8</v>
      </c>
    </row>
    <row r="7" spans="2:8" x14ac:dyDescent="0.2">
      <c r="B7" s="77">
        <v>4</v>
      </c>
      <c r="C7" s="85" t="s">
        <v>94</v>
      </c>
      <c r="D7" s="77">
        <v>4</v>
      </c>
      <c r="E7" s="77">
        <v>4</v>
      </c>
      <c r="F7" s="77"/>
      <c r="G7" s="77"/>
      <c r="H7" s="80"/>
    </row>
    <row r="8" spans="2:8" ht="50.25" customHeight="1" x14ac:dyDescent="0.2">
      <c r="B8" s="78">
        <v>4.0999999999999996</v>
      </c>
      <c r="C8" s="83" t="s">
        <v>105</v>
      </c>
      <c r="D8" s="78">
        <v>4</v>
      </c>
      <c r="E8" s="78"/>
      <c r="F8" s="78"/>
      <c r="G8" s="78"/>
      <c r="H8" s="79"/>
    </row>
    <row r="9" spans="2:8" ht="27" customHeight="1" x14ac:dyDescent="0.2">
      <c r="B9" s="78">
        <v>4.2</v>
      </c>
      <c r="C9" s="83" t="s">
        <v>106</v>
      </c>
      <c r="D9" s="78"/>
      <c r="E9" s="78">
        <v>4</v>
      </c>
      <c r="F9" s="78"/>
      <c r="G9" s="78"/>
      <c r="H9" s="79"/>
    </row>
    <row r="10" spans="2:8" x14ac:dyDescent="0.2">
      <c r="B10" s="77">
        <v>5</v>
      </c>
      <c r="C10" s="85" t="s">
        <v>95</v>
      </c>
      <c r="D10" s="77">
        <v>2</v>
      </c>
      <c r="E10" s="77">
        <v>4</v>
      </c>
      <c r="F10" s="77"/>
      <c r="G10" s="77"/>
      <c r="H10" s="80"/>
    </row>
    <row r="11" spans="2:8" ht="38.25" x14ac:dyDescent="0.2">
      <c r="B11" s="78">
        <v>5.0999999999999996</v>
      </c>
      <c r="C11" s="83" t="s">
        <v>107</v>
      </c>
      <c r="D11" s="78">
        <v>2</v>
      </c>
      <c r="E11" s="78"/>
      <c r="F11" s="78"/>
      <c r="G11" s="78"/>
      <c r="H11" s="79"/>
    </row>
    <row r="12" spans="2:8" ht="38.25" x14ac:dyDescent="0.2">
      <c r="B12" s="78">
        <v>5.2</v>
      </c>
      <c r="C12" s="83" t="s">
        <v>108</v>
      </c>
      <c r="D12" s="78"/>
      <c r="E12" s="78">
        <v>4</v>
      </c>
      <c r="F12" s="78"/>
      <c r="G12" s="78"/>
      <c r="H12" s="79"/>
    </row>
    <row r="13" spans="2:8" ht="38.25" x14ac:dyDescent="0.2">
      <c r="B13" s="77">
        <v>6</v>
      </c>
      <c r="C13" s="85" t="s">
        <v>109</v>
      </c>
      <c r="D13" s="77">
        <v>2</v>
      </c>
      <c r="E13" s="77"/>
      <c r="F13" s="77"/>
      <c r="G13" s="77"/>
      <c r="H13" s="80"/>
    </row>
    <row r="14" spans="2:8" x14ac:dyDescent="0.2">
      <c r="B14" s="77">
        <v>7</v>
      </c>
      <c r="C14" s="85" t="s">
        <v>97</v>
      </c>
      <c r="D14" s="77">
        <v>4</v>
      </c>
      <c r="E14" s="77">
        <v>8</v>
      </c>
      <c r="F14" s="77">
        <v>8</v>
      </c>
      <c r="G14" s="77"/>
      <c r="H14" s="80"/>
    </row>
    <row r="15" spans="2:8" ht="38.25" x14ac:dyDescent="0.2">
      <c r="B15" s="78">
        <v>7.1</v>
      </c>
      <c r="C15" s="83" t="s">
        <v>110</v>
      </c>
      <c r="D15" s="78">
        <v>2</v>
      </c>
      <c r="E15" s="78"/>
      <c r="F15" s="78"/>
      <c r="G15" s="78"/>
      <c r="H15" s="79"/>
    </row>
    <row r="16" spans="2:8" ht="38.25" x14ac:dyDescent="0.2">
      <c r="B16" s="78">
        <v>7.2</v>
      </c>
      <c r="C16" s="83" t="s">
        <v>111</v>
      </c>
      <c r="D16" s="78">
        <v>2</v>
      </c>
      <c r="E16" s="78"/>
      <c r="F16" s="78"/>
      <c r="G16" s="78"/>
      <c r="H16" s="79"/>
    </row>
    <row r="17" spans="2:8" ht="25.5" x14ac:dyDescent="0.2">
      <c r="B17" s="78">
        <v>7.3</v>
      </c>
      <c r="C17" s="83" t="s">
        <v>112</v>
      </c>
      <c r="D17" s="78"/>
      <c r="E17" s="78">
        <v>4</v>
      </c>
      <c r="F17" s="78"/>
      <c r="G17" s="78"/>
      <c r="H17" s="79"/>
    </row>
    <row r="18" spans="2:8" ht="27" customHeight="1" x14ac:dyDescent="0.2">
      <c r="B18" s="78">
        <v>7.4</v>
      </c>
      <c r="C18" s="83" t="s">
        <v>113</v>
      </c>
      <c r="D18" s="78"/>
      <c r="E18" s="78">
        <v>4</v>
      </c>
      <c r="F18" s="78"/>
      <c r="G18" s="78"/>
      <c r="H18" s="79"/>
    </row>
    <row r="19" spans="2:8" ht="25.5" x14ac:dyDescent="0.2">
      <c r="B19" s="78">
        <v>7.5</v>
      </c>
      <c r="C19" s="83" t="s">
        <v>114</v>
      </c>
      <c r="D19" s="78"/>
      <c r="E19" s="78"/>
      <c r="F19" s="78">
        <v>4</v>
      </c>
      <c r="G19" s="78"/>
      <c r="H19" s="79"/>
    </row>
    <row r="20" spans="2:8" ht="25.5" x14ac:dyDescent="0.2">
      <c r="B20" s="78">
        <v>7.6</v>
      </c>
      <c r="C20" s="83" t="s">
        <v>115</v>
      </c>
      <c r="D20" s="78"/>
      <c r="E20" s="78"/>
      <c r="F20" s="78">
        <v>4</v>
      </c>
      <c r="G20" s="78"/>
      <c r="H20" s="79"/>
    </row>
    <row r="21" spans="2:8" ht="25.5" x14ac:dyDescent="0.2">
      <c r="B21" s="77">
        <v>8</v>
      </c>
      <c r="C21" s="85" t="s">
        <v>116</v>
      </c>
      <c r="D21" s="77"/>
      <c r="E21" s="77"/>
      <c r="F21" s="77">
        <v>4</v>
      </c>
      <c r="G21" s="77"/>
      <c r="H21" s="80"/>
    </row>
    <row r="22" spans="2:8" ht="64.5" thickBot="1" x14ac:dyDescent="0.25">
      <c r="B22" s="77">
        <v>9</v>
      </c>
      <c r="C22" s="85" t="s">
        <v>117</v>
      </c>
      <c r="D22" s="77"/>
      <c r="E22" s="77"/>
      <c r="F22" s="77"/>
      <c r="G22" s="77">
        <v>12</v>
      </c>
      <c r="H22" s="80"/>
    </row>
    <row r="23" spans="2:8" ht="13.5" thickTop="1" x14ac:dyDescent="0.2">
      <c r="B23" s="75"/>
      <c r="C23" s="75" t="s">
        <v>43</v>
      </c>
      <c r="D23" s="76">
        <f>D2+D3+D4+D7+D10+D13+D14+D21+D22</f>
        <v>16</v>
      </c>
      <c r="E23" s="76">
        <f t="shared" ref="E23:H23" si="0">E2+E3+E4+E7+E10+E13+E14+E21+E22</f>
        <v>16</v>
      </c>
      <c r="F23" s="76">
        <f t="shared" si="0"/>
        <v>12</v>
      </c>
      <c r="G23" s="76">
        <f t="shared" si="0"/>
        <v>16</v>
      </c>
      <c r="H23" s="76">
        <f t="shared" si="0"/>
        <v>8</v>
      </c>
    </row>
  </sheetData>
  <pageMargins left="0.2" right="0.2" top="0.25" bottom="0.25" header="0.3" footer="0.3"/>
  <pageSetup orientation="landscape" horizontalDpi="300" verticalDpi="0" r:id="rId1"/>
  <headerFooter>
    <oddHeader>&amp;CМиТОАД
План (очное)</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7</vt:i4>
      </vt:variant>
      <vt:variant>
        <vt:lpstr>Именованные диапазоны</vt:lpstr>
      </vt:variant>
      <vt:variant>
        <vt:i4>2</vt:i4>
      </vt:variant>
    </vt:vector>
  </HeadingPairs>
  <TitlesOfParts>
    <vt:vector size="9" baseType="lpstr">
      <vt:lpstr>131701с_лк</vt:lpstr>
      <vt:lpstr>131701с_лб</vt:lpstr>
      <vt:lpstr>131701с_итог</vt:lpstr>
      <vt:lpstr>Оценка_УСРС</vt:lpstr>
      <vt:lpstr>Текущая оценка</vt:lpstr>
      <vt:lpstr>ИтогиУСРС</vt:lpstr>
      <vt:lpstr>План</vt:lpstr>
      <vt:lpstr>План!OLE_LINK3</vt:lpstr>
      <vt:lpstr>План!Заголовки_для_печати</vt:lpstr>
    </vt:vector>
  </TitlesOfParts>
  <Company>Melkosoft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GWW</dc:creator>
  <cp:lastModifiedBy>Volha</cp:lastModifiedBy>
  <cp:lastPrinted>2017-03-01T06:45:19Z</cp:lastPrinted>
  <dcterms:created xsi:type="dcterms:W3CDTF">2007-08-20T10:30:21Z</dcterms:created>
  <dcterms:modified xsi:type="dcterms:W3CDTF">2017-03-13T23:22:24Z</dcterms:modified>
</cp:coreProperties>
</file>